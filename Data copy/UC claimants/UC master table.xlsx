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chidlow/Desktop/Spectator/Data/UC claimants/"/>
    </mc:Choice>
  </mc:AlternateContent>
  <xr:revisionPtr revIDLastSave="0" documentId="13_ncr:1_{715B86D6-DCB4-8247-AB63-57A4007673CB}" xr6:coauthVersionLast="47" xr6:coauthVersionMax="47" xr10:uidLastSave="{00000000-0000-0000-0000-000000000000}"/>
  <bookViews>
    <workbookView xWindow="440" yWindow="1100" windowWidth="23480" windowHeight="14780" activeTab="1" xr2:uid="{C5A4F0A5-3D0C-B840-946D-BFE77DBDD5D1}"/>
  </bookViews>
  <sheets>
    <sheet name="UC people age" sheetId="1" r:id="rId1"/>
    <sheet name="UC people+starts age" sheetId="3" r:id="rId2"/>
    <sheet name="Deaths decile 1" sheetId="6" r:id="rId3"/>
    <sheet name="Populations decile 1" sheetId="4" r:id="rId4"/>
    <sheet name="Sheet5" sheetId="5" r:id="rId5"/>
    <sheet name="ACC Off-flows to Aug 22" sheetId="2" r:id="rId6"/>
  </sheets>
  <definedNames>
    <definedName name="_xlnm._FilterDatabase" localSheetId="2" hidden="1">'Deaths decile 1'!$A$1:$E$401</definedName>
    <definedName name="_xlnm._FilterDatabase" localSheetId="3" hidden="1">'Populations decile 1'!$A$1:$E$401</definedName>
    <definedName name="_xlnm._FilterDatabase" localSheetId="4" hidden="1">Sheet5!$A$1:$D$49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3" l="1"/>
  <c r="S43" i="3" s="1"/>
  <c r="E40" i="1"/>
  <c r="E39" i="1"/>
  <c r="E38" i="1"/>
  <c r="E37" i="1"/>
  <c r="P35" i="1"/>
  <c r="O35" i="1"/>
  <c r="N35" i="1"/>
  <c r="M35" i="1"/>
  <c r="L35" i="1"/>
  <c r="K35" i="1"/>
  <c r="J35" i="1"/>
  <c r="I35" i="1"/>
  <c r="H35" i="1"/>
  <c r="G35" i="1"/>
  <c r="F35" i="1"/>
  <c r="E35" i="1"/>
  <c r="E34" i="1"/>
  <c r="T30" i="1"/>
  <c r="T28" i="1"/>
  <c r="T27" i="1"/>
  <c r="F32" i="1"/>
  <c r="G32" i="1"/>
  <c r="H32" i="1"/>
  <c r="I32" i="1"/>
  <c r="J32" i="1"/>
  <c r="K32" i="1"/>
  <c r="L32" i="1"/>
  <c r="M32" i="1"/>
  <c r="N32" i="1"/>
  <c r="O32" i="1"/>
  <c r="P32" i="1"/>
  <c r="Q32" i="1"/>
  <c r="E32" i="1"/>
  <c r="D9" i="3"/>
  <c r="C8" i="3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D30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4" i="1"/>
  <c r="T3" i="1"/>
  <c r="G392" i="6"/>
  <c r="G382" i="6"/>
  <c r="G372" i="6"/>
  <c r="G362" i="6"/>
  <c r="G352" i="6"/>
  <c r="G342" i="6"/>
  <c r="G332" i="6"/>
  <c r="G322" i="6"/>
  <c r="G312" i="6"/>
  <c r="G302" i="6"/>
  <c r="G292" i="6"/>
  <c r="G282" i="6"/>
  <c r="G272" i="6"/>
  <c r="G262" i="6"/>
  <c r="G252" i="6"/>
  <c r="G242" i="6"/>
  <c r="G192" i="6"/>
  <c r="G182" i="6"/>
  <c r="G172" i="6"/>
  <c r="G162" i="6"/>
  <c r="G152" i="6"/>
  <c r="G142" i="6"/>
  <c r="G132" i="6"/>
  <c r="G122" i="6"/>
  <c r="G112" i="6"/>
  <c r="G102" i="6"/>
  <c r="G92" i="6"/>
  <c r="G82" i="6"/>
  <c r="G72" i="6"/>
  <c r="G62" i="6"/>
  <c r="G52" i="6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C12" i="3"/>
  <c r="J312" i="6"/>
  <c r="J302" i="6"/>
  <c r="I312" i="6"/>
  <c r="I302" i="6"/>
  <c r="H312" i="6"/>
  <c r="H302" i="6"/>
  <c r="G42" i="6"/>
  <c r="F392" i="6"/>
  <c r="F382" i="6"/>
  <c r="F372" i="6"/>
  <c r="F362" i="6"/>
  <c r="F352" i="6"/>
  <c r="F342" i="6"/>
  <c r="F332" i="6"/>
  <c r="F322" i="6"/>
  <c r="F312" i="6"/>
  <c r="F302" i="6"/>
  <c r="F292" i="6"/>
  <c r="F282" i="6"/>
  <c r="F272" i="6"/>
  <c r="F262" i="6"/>
  <c r="F252" i="6"/>
  <c r="F242" i="6"/>
  <c r="F192" i="6"/>
  <c r="F182" i="6"/>
  <c r="F172" i="6"/>
  <c r="F162" i="6"/>
  <c r="F152" i="6"/>
  <c r="F142" i="6"/>
  <c r="F132" i="6"/>
  <c r="F122" i="6"/>
  <c r="F112" i="6"/>
  <c r="F102" i="6"/>
  <c r="F92" i="6"/>
  <c r="F82" i="6"/>
  <c r="F72" i="6"/>
  <c r="F62" i="6"/>
  <c r="F52" i="6"/>
  <c r="F4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" i="5"/>
  <c r="E53" i="3"/>
  <c r="F53" i="3"/>
  <c r="G53" i="3"/>
  <c r="H53" i="3"/>
  <c r="I53" i="3"/>
  <c r="J53" i="3"/>
  <c r="K53" i="3"/>
  <c r="L53" i="3"/>
  <c r="M53" i="3"/>
  <c r="N53" i="3"/>
  <c r="O53" i="3"/>
  <c r="P53" i="3"/>
  <c r="E52" i="3"/>
  <c r="F52" i="3"/>
  <c r="G52" i="3"/>
  <c r="H52" i="3"/>
  <c r="I52" i="3"/>
  <c r="J52" i="3"/>
  <c r="K52" i="3"/>
  <c r="L52" i="3"/>
  <c r="M52" i="3"/>
  <c r="N52" i="3"/>
  <c r="O52" i="3"/>
  <c r="P52" i="3"/>
  <c r="E51" i="3"/>
  <c r="F51" i="3"/>
  <c r="G51" i="3"/>
  <c r="H51" i="3"/>
  <c r="I51" i="3"/>
  <c r="J51" i="3"/>
  <c r="K51" i="3"/>
  <c r="L51" i="3"/>
  <c r="M51" i="3"/>
  <c r="N51" i="3"/>
  <c r="O51" i="3"/>
  <c r="P51" i="3"/>
  <c r="E50" i="3"/>
  <c r="F50" i="3"/>
  <c r="G50" i="3"/>
  <c r="H50" i="3"/>
  <c r="I50" i="3"/>
  <c r="J50" i="3"/>
  <c r="K50" i="3"/>
  <c r="L50" i="3"/>
  <c r="M50" i="3"/>
  <c r="N50" i="3"/>
  <c r="O50" i="3"/>
  <c r="P50" i="3"/>
  <c r="E49" i="3"/>
  <c r="F49" i="3"/>
  <c r="G49" i="3"/>
  <c r="H49" i="3"/>
  <c r="I49" i="3"/>
  <c r="J49" i="3"/>
  <c r="K49" i="3"/>
  <c r="L49" i="3"/>
  <c r="M49" i="3"/>
  <c r="N49" i="3"/>
  <c r="O49" i="3"/>
  <c r="P49" i="3"/>
  <c r="E48" i="3"/>
  <c r="E55" i="3" s="1"/>
  <c r="E56" i="3" s="1"/>
  <c r="F48" i="3"/>
  <c r="F55" i="3" s="1"/>
  <c r="F56" i="3" s="1"/>
  <c r="G48" i="3"/>
  <c r="G55" i="3" s="1"/>
  <c r="H48" i="3"/>
  <c r="H55" i="3" s="1"/>
  <c r="H56" i="3" s="1"/>
  <c r="I48" i="3"/>
  <c r="I55" i="3" s="1"/>
  <c r="I56" i="3" s="1"/>
  <c r="J48" i="3"/>
  <c r="J55" i="3" s="1"/>
  <c r="K48" i="3"/>
  <c r="K55" i="3" s="1"/>
  <c r="L48" i="3"/>
  <c r="L55" i="3" s="1"/>
  <c r="L56" i="3" s="1"/>
  <c r="M48" i="3"/>
  <c r="M55" i="3" s="1"/>
  <c r="M56" i="3" s="1"/>
  <c r="N48" i="3"/>
  <c r="N55" i="3" s="1"/>
  <c r="N56" i="3" s="1"/>
  <c r="O48" i="3"/>
  <c r="O55" i="3" s="1"/>
  <c r="O56" i="3" s="1"/>
  <c r="P48" i="3"/>
  <c r="P55" i="3" s="1"/>
  <c r="P56" i="3" s="1"/>
  <c r="E47" i="3"/>
  <c r="F47" i="3"/>
  <c r="G47" i="3"/>
  <c r="H47" i="3"/>
  <c r="I47" i="3"/>
  <c r="J47" i="3"/>
  <c r="K47" i="3"/>
  <c r="L47" i="3"/>
  <c r="M47" i="3"/>
  <c r="N47" i="3"/>
  <c r="O47" i="3"/>
  <c r="P47" i="3"/>
  <c r="E46" i="3"/>
  <c r="F46" i="3"/>
  <c r="G46" i="3"/>
  <c r="H46" i="3"/>
  <c r="I46" i="3"/>
  <c r="J46" i="3"/>
  <c r="K46" i="3"/>
  <c r="L46" i="3"/>
  <c r="M46" i="3"/>
  <c r="N46" i="3"/>
  <c r="O46" i="3"/>
  <c r="P46" i="3"/>
  <c r="E45" i="3"/>
  <c r="F45" i="3"/>
  <c r="G45" i="3"/>
  <c r="H45" i="3"/>
  <c r="I45" i="3"/>
  <c r="J45" i="3"/>
  <c r="K45" i="3"/>
  <c r="L45" i="3"/>
  <c r="M45" i="3"/>
  <c r="N45" i="3"/>
  <c r="O45" i="3"/>
  <c r="P45" i="3"/>
  <c r="E44" i="3"/>
  <c r="F44" i="3"/>
  <c r="G44" i="3"/>
  <c r="H44" i="3"/>
  <c r="I44" i="3"/>
  <c r="J44" i="3"/>
  <c r="K44" i="3"/>
  <c r="L44" i="3"/>
  <c r="M44" i="3"/>
  <c r="N44" i="3"/>
  <c r="O44" i="3"/>
  <c r="P44" i="3"/>
  <c r="D44" i="3"/>
  <c r="S44" i="3" s="1"/>
  <c r="D45" i="3"/>
  <c r="S45" i="3" s="1"/>
  <c r="D46" i="3"/>
  <c r="S46" i="3" s="1"/>
  <c r="D47" i="3"/>
  <c r="S47" i="3" s="1"/>
  <c r="D48" i="3"/>
  <c r="D49" i="3"/>
  <c r="S49" i="3" s="1"/>
  <c r="D50" i="3"/>
  <c r="S50" i="3" s="1"/>
  <c r="D51" i="3"/>
  <c r="S51" i="3" s="1"/>
  <c r="D52" i="3"/>
  <c r="S52" i="3" s="1"/>
  <c r="D53" i="3"/>
  <c r="S53" i="3" s="1"/>
  <c r="E43" i="3"/>
  <c r="F43" i="3"/>
  <c r="G43" i="3"/>
  <c r="H43" i="3"/>
  <c r="I43" i="3"/>
  <c r="J43" i="3"/>
  <c r="K43" i="3"/>
  <c r="L43" i="3"/>
  <c r="M43" i="3"/>
  <c r="N43" i="3"/>
  <c r="O43" i="3"/>
  <c r="P43" i="3"/>
  <c r="P41" i="3"/>
  <c r="E41" i="3"/>
  <c r="F41" i="3"/>
  <c r="G41" i="3"/>
  <c r="H41" i="3"/>
  <c r="I41" i="3"/>
  <c r="J41" i="3"/>
  <c r="K41" i="3"/>
  <c r="L41" i="3"/>
  <c r="M41" i="3"/>
  <c r="N41" i="3"/>
  <c r="O41" i="3"/>
  <c r="E40" i="3"/>
  <c r="F40" i="3"/>
  <c r="G40" i="3"/>
  <c r="H40" i="3"/>
  <c r="I40" i="3"/>
  <c r="J40" i="3"/>
  <c r="K40" i="3"/>
  <c r="L40" i="3"/>
  <c r="M40" i="3"/>
  <c r="N40" i="3"/>
  <c r="O40" i="3"/>
  <c r="P40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E38" i="3"/>
  <c r="F38" i="3"/>
  <c r="G38" i="3"/>
  <c r="H38" i="3"/>
  <c r="I38" i="3"/>
  <c r="J38" i="3"/>
  <c r="K38" i="3"/>
  <c r="L38" i="3"/>
  <c r="M38" i="3"/>
  <c r="N38" i="3"/>
  <c r="O38" i="3"/>
  <c r="P38" i="3"/>
  <c r="D38" i="3"/>
  <c r="D40" i="3"/>
  <c r="D41" i="3"/>
  <c r="E33" i="3"/>
  <c r="F33" i="3"/>
  <c r="G33" i="3"/>
  <c r="H33" i="3"/>
  <c r="I33" i="3"/>
  <c r="J33" i="3"/>
  <c r="K33" i="3"/>
  <c r="L33" i="3"/>
  <c r="M33" i="3"/>
  <c r="N33" i="3"/>
  <c r="O33" i="3"/>
  <c r="P33" i="3"/>
  <c r="E32" i="3"/>
  <c r="F32" i="3"/>
  <c r="G32" i="3"/>
  <c r="H32" i="3"/>
  <c r="I32" i="3"/>
  <c r="J32" i="3"/>
  <c r="K32" i="3"/>
  <c r="L32" i="3"/>
  <c r="M32" i="3"/>
  <c r="N32" i="3"/>
  <c r="O32" i="3"/>
  <c r="P32" i="3"/>
  <c r="D32" i="3"/>
  <c r="D33" i="3"/>
  <c r="E31" i="3"/>
  <c r="F31" i="3"/>
  <c r="G31" i="3"/>
  <c r="H31" i="3"/>
  <c r="I31" i="3"/>
  <c r="J31" i="3"/>
  <c r="K31" i="3"/>
  <c r="L31" i="3"/>
  <c r="M31" i="3"/>
  <c r="N31" i="3"/>
  <c r="O31" i="3"/>
  <c r="P31" i="3"/>
  <c r="D31" i="3"/>
  <c r="E37" i="3"/>
  <c r="F37" i="3"/>
  <c r="G37" i="3"/>
  <c r="H37" i="3"/>
  <c r="I37" i="3"/>
  <c r="J37" i="3"/>
  <c r="K37" i="3"/>
  <c r="L37" i="3"/>
  <c r="M37" i="3"/>
  <c r="N37" i="3"/>
  <c r="O37" i="3"/>
  <c r="P37" i="3"/>
  <c r="D37" i="3"/>
  <c r="E36" i="3"/>
  <c r="F36" i="3"/>
  <c r="G36" i="3"/>
  <c r="H36" i="3"/>
  <c r="I36" i="3"/>
  <c r="J36" i="3"/>
  <c r="K36" i="3"/>
  <c r="L36" i="3"/>
  <c r="M36" i="3"/>
  <c r="N36" i="3"/>
  <c r="O36" i="3"/>
  <c r="P36" i="3"/>
  <c r="D36" i="3"/>
  <c r="E35" i="3"/>
  <c r="F35" i="3"/>
  <c r="G35" i="3"/>
  <c r="H35" i="3"/>
  <c r="I35" i="3"/>
  <c r="J35" i="3"/>
  <c r="K35" i="3"/>
  <c r="L35" i="3"/>
  <c r="M35" i="3"/>
  <c r="N35" i="3"/>
  <c r="O35" i="3"/>
  <c r="P35" i="3"/>
  <c r="D35" i="3"/>
  <c r="F34" i="3"/>
  <c r="G34" i="3"/>
  <c r="H34" i="3"/>
  <c r="I34" i="3"/>
  <c r="J34" i="3"/>
  <c r="K34" i="3"/>
  <c r="L34" i="3"/>
  <c r="M34" i="3"/>
  <c r="N34" i="3"/>
  <c r="O34" i="3"/>
  <c r="P34" i="3"/>
  <c r="E34" i="3"/>
  <c r="D34" i="3"/>
  <c r="O9" i="3"/>
  <c r="I9" i="3"/>
  <c r="J9" i="3"/>
  <c r="K9" i="3"/>
  <c r="L9" i="3"/>
  <c r="M9" i="3"/>
  <c r="N9" i="3"/>
  <c r="P9" i="3"/>
  <c r="H9" i="3"/>
  <c r="E9" i="3"/>
  <c r="F9" i="3"/>
  <c r="G9" i="3"/>
  <c r="D8" i="3"/>
  <c r="E8" i="3"/>
  <c r="F8" i="3"/>
  <c r="G8" i="3"/>
  <c r="H8" i="3"/>
  <c r="I8" i="3"/>
  <c r="J8" i="3"/>
  <c r="K8" i="3"/>
  <c r="L8" i="3"/>
  <c r="M8" i="3"/>
  <c r="N8" i="3"/>
  <c r="O8" i="3"/>
  <c r="P8" i="3"/>
  <c r="S48" i="3" l="1"/>
  <c r="D55" i="3"/>
  <c r="D56" i="3" s="1"/>
  <c r="D57" i="3" s="1"/>
</calcChain>
</file>

<file path=xl/sharedStrings.xml><?xml version="1.0" encoding="utf-8"?>
<sst xmlns="http://schemas.openxmlformats.org/spreadsheetml/2006/main" count="2018" uniqueCount="147">
  <si>
    <t>Month of Off Flow</t>
  </si>
  <si>
    <t>Benefit Group</t>
  </si>
  <si>
    <t>Universal Credit Searching for Work</t>
  </si>
  <si>
    <t>Jobseeker's Allowance</t>
  </si>
  <si>
    <t>Additionals</t>
  </si>
  <si>
    <t>Total</t>
  </si>
  <si>
    <t>..</t>
  </si>
  <si>
    <t>Employment Indicator</t>
  </si>
  <si>
    <t>April 2021</t>
  </si>
  <si>
    <t>Not in employment</t>
  </si>
  <si>
    <t>In employment</t>
  </si>
  <si>
    <t>Not available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</si>
  <si>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</si>
  <si>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</si>
  <si>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</si>
  <si>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</si>
  <si>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</si>
  <si>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</si>
  <si>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</si>
  <si>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</si>
  <si>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</si>
  <si>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</si>
  <si>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</si>
  <si>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</si>
  <si>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</si>
  <si>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</si>
  <si>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</si>
  <si>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</si>
  <si>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Month</t>
  </si>
  <si>
    <t>January 2025</t>
  </si>
  <si>
    <t>February 2025</t>
  </si>
  <si>
    <t>March 2025</t>
  </si>
  <si>
    <t>April 2025 (rev)</t>
  </si>
  <si>
    <t>May 2025 (rev)</t>
  </si>
  <si>
    <t>June 2025</t>
  </si>
  <si>
    <t>July 2025</t>
  </si>
  <si>
    <t>August 2025</t>
  </si>
  <si>
    <t>September 2025</t>
  </si>
  <si>
    <t>October 2025</t>
  </si>
  <si>
    <t>November 2025</t>
  </si>
  <si>
    <t>December 2025 (r)</t>
  </si>
  <si>
    <t>January 2026 (p)</t>
  </si>
  <si>
    <t>Employment indicator (V)</t>
  </si>
  <si>
    <t>Starts on Universal Credit</t>
  </si>
  <si>
    <t>People carried over</t>
  </si>
  <si>
    <t>Leavers</t>
  </si>
  <si>
    <t>State Pension</t>
  </si>
  <si>
    <t>Death</t>
  </si>
  <si>
    <t>65-70</t>
  </si>
  <si>
    <t>70+</t>
  </si>
  <si>
    <t>Age (bands and single year) (VI)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</si>
  <si>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</si>
  <si>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</si>
  <si>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</si>
  <si>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</si>
  <si>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</si>
  <si>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</si>
  <si>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</si>
  <si>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</si>
  <si>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</si>
  <si>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</si>
  <si>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</si>
  <si>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Over 70 (VI)</t>
  </si>
  <si>
    <t>Change 63</t>
  </si>
  <si>
    <t>Change 64</t>
  </si>
  <si>
    <t>Change 65</t>
  </si>
  <si>
    <t>Change 66</t>
  </si>
  <si>
    <t>Change 60</t>
  </si>
  <si>
    <t>Change 61</t>
  </si>
  <si>
    <t>Change 62</t>
  </si>
  <si>
    <t>Change 67</t>
  </si>
  <si>
    <t>Change 68</t>
  </si>
  <si>
    <t>Change 69</t>
  </si>
  <si>
    <t>Change 70</t>
  </si>
  <si>
    <t>Change rate 60</t>
  </si>
  <si>
    <t>Change rate 61</t>
  </si>
  <si>
    <t>Change rate 62</t>
  </si>
  <si>
    <t>Change rate 63</t>
  </si>
  <si>
    <t>Change rate 64</t>
  </si>
  <si>
    <t>Change rate 65</t>
  </si>
  <si>
    <t>Change rate 66</t>
  </si>
  <si>
    <t>Change rate 67</t>
  </si>
  <si>
    <t>Change rate 68</t>
  </si>
  <si>
    <t>Change rate 69</t>
  </si>
  <si>
    <t>Change rate 70</t>
  </si>
  <si>
    <t>Expected change 66</t>
  </si>
  <si>
    <t>Excess change 66</t>
  </si>
  <si>
    <t>Average change due to pension</t>
  </si>
  <si>
    <t>Pension effect</t>
  </si>
  <si>
    <t>males</t>
  </si>
  <si>
    <t>&lt;1</t>
  </si>
  <si>
    <t>01-04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</si>
  <si>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</si>
  <si>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</si>
  <si>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</si>
  <si>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</si>
  <si>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</si>
  <si>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</si>
  <si>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</si>
  <si>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</si>
  <si>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</si>
  <si>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</si>
  <si>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</si>
  <si>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</si>
  <si>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</si>
  <si>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</si>
  <si>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</si>
  <si>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</si>
  <si>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</si>
  <si>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90+</t>
  </si>
  <si>
    <t>females</t>
  </si>
  <si>
    <t>Year</t>
  </si>
  <si>
    <t>Sex</t>
  </si>
  <si>
    <t>Age</t>
  </si>
  <si>
    <t>Decile</t>
  </si>
  <si>
    <t>Deaths</t>
  </si>
  <si>
    <t>Area</t>
  </si>
  <si>
    <t>Age_band</t>
  </si>
  <si>
    <t>Population</t>
  </si>
  <si>
    <t>England</t>
  </si>
  <si>
    <t>Male</t>
  </si>
  <si>
    <t>Female</t>
  </si>
  <si>
    <t>71+</t>
  </si>
  <si>
    <t xml:space="preserve">Deaths </t>
  </si>
  <si>
    <t>D1 population est</t>
  </si>
  <si>
    <t>Populations</t>
  </si>
  <si>
    <t>Rate</t>
  </si>
  <si>
    <t>Under 65</t>
  </si>
  <si>
    <t>December 2024</t>
  </si>
  <si>
    <t>Gender</t>
  </si>
  <si>
    <t>16-19</t>
  </si>
  <si>
    <t>Death rates</t>
  </si>
  <si>
    <t>Expected monthly deaths</t>
  </si>
  <si>
    <t>Starters</t>
  </si>
  <si>
    <t>Expected leavers due to pension</t>
  </si>
  <si>
    <t>Expected leavers due to death</t>
  </si>
  <si>
    <t>Expected leavers into work</t>
  </si>
  <si>
    <t>Male deaths</t>
  </si>
  <si>
    <t>Female deaths</t>
  </si>
  <si>
    <t>Total deaths per month</t>
  </si>
  <si>
    <t>Quarterly</t>
  </si>
  <si>
    <t>Q1 2025</t>
  </si>
  <si>
    <t>Q2 2025</t>
  </si>
  <si>
    <t>Q3 2025</t>
  </si>
  <si>
    <t>Q4 2025</t>
  </si>
  <si>
    <t>Average monthly percentage change</t>
  </si>
  <si>
    <t>Growth in people moving to UC by age, showing the suppressive effect of the pension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</si>
</sst>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0"/>
  </numFmts>
  <fonts count="11" x14ac:knownFonts="1">
    <font>
      <sz val="12"/>
      <color theme="1"/>
      <name val="Aptos Narrow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rgb="FF444444"/>
      <name val="Helvetica Neue"/>
      <family val="2"/>
    </font>
    <font>
      <sz val="8"/>
      <name val="Aptos Narrow"/>
      <family val="2"/>
      <scheme val="minor"/>
    </font>
    <font>
      <b/>
      <u/>
      <sz val="12"/>
      <color theme="1"/>
      <name val="Aptos Narrow"/>
      <scheme val="minor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4"/>
      <color rgb="FF595959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1F1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BFBFB"/>
        <bgColor rgb="FF000000"/>
      </patternFill>
    </fill>
    <fill>
      <patternFill patternType="solid">
        <fgColor indexed="44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BFBFB"/>
        <bgColor indexed="64"/>
      </patternFill>
    </fill>
  </fills>
  <borders count="14">
    <border>
      <left/>
      <right/>
      <top/>
      <bottom/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 style="medium">
        <color rgb="FFF1F1F1"/>
      </left>
      <right style="medium">
        <color rgb="FFF1F1F1"/>
      </right>
      <top/>
      <bottom style="medium">
        <color rgb="FFF1F1F1"/>
      </bottom>
      <diagonal/>
    </border>
    <border>
      <left/>
      <right style="medium">
        <color rgb="FFF1F1F1"/>
      </right>
      <top/>
      <bottom style="medium">
        <color rgb="FFF1F1F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1F1F1"/>
      </left>
      <right/>
      <top/>
      <bottom/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/>
      <diagonal/>
    </border>
    <border>
      <left style="medium">
        <color rgb="FFF1F1F1"/>
      </left>
      <right style="medium">
        <color rgb="FFF1F1F1"/>
      </right>
      <top/>
      <bottom/>
      <diagonal/>
    </border>
    <border>
      <left style="medium">
        <color rgb="FFF1F1F1"/>
      </left>
      <right/>
      <top style="medium">
        <color rgb="FFF1F1F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5" borderId="6">
      <alignment horizontal="center" vertical="center"/>
      <protection locked="0"/>
    </xf>
    <xf numFmtId="0" fontId="2" fillId="8" borderId="0">
      <protection locked="0"/>
    </xf>
  </cellStyleXfs>
  <cellXfs count="51">
    <xf numFmtId="0" fontId="0" fillId="0" borderId="0" xfId="0"/>
    <xf numFmtId="0" fontId="2" fillId="3" borderId="0" xfId="0" applyFont="1" applyFill="1" applyProtection="1">
      <protection locked="0"/>
    </xf>
    <xf numFmtId="0" fontId="3" fillId="4" borderId="3" xfId="0" applyFont="1" applyFill="1" applyBorder="1" applyAlignment="1" applyProtection="1">
      <alignment horizontal="right"/>
      <protection locked="0"/>
    </xf>
    <xf numFmtId="0" fontId="3" fillId="4" borderId="5" xfId="0" applyFont="1" applyFill="1" applyBorder="1" applyAlignment="1" applyProtection="1">
      <alignment horizontal="right"/>
      <protection locked="0"/>
    </xf>
    <xf numFmtId="17" fontId="1" fillId="2" borderId="0" xfId="0" applyNumberFormat="1" applyFont="1" applyFill="1" applyAlignment="1" applyProtection="1">
      <alignment horizontal="center" vertical="center" wrapText="1"/>
      <protection locked="0"/>
    </xf>
    <xf numFmtId="0" fontId="1" fillId="6" borderId="1" xfId="1" applyFont="1" applyFill="1" applyBorder="1" applyAlignment="1">
      <alignment horizontal="left" vertical="center" wrapText="1"/>
      <protection locked="0"/>
    </xf>
    <xf numFmtId="0" fontId="0" fillId="7" borderId="0" xfId="0" applyFill="1" applyProtection="1">
      <protection locked="0"/>
    </xf>
    <xf numFmtId="0" fontId="1" fillId="6" borderId="0" xfId="1" applyFont="1" applyFill="1" applyBorder="1" applyAlignment="1">
      <alignment horizontal="center" vertical="center" wrapText="1"/>
      <protection locked="0"/>
    </xf>
    <xf numFmtId="0" fontId="0" fillId="7" borderId="0" xfId="0" applyFill="1" applyProtection="1">
      <protection locked="0"/>
    </xf>
    <xf numFmtId="0" fontId="1" fillId="6" borderId="1" xfId="1" applyFont="1" applyFill="1" applyBorder="1" applyAlignment="1">
      <alignment horizontal="left" vertical="center" wrapText="1"/>
      <protection locked="0"/>
    </xf>
    <xf numFmtId="49" fontId="1" fillId="6" borderId="0" xfId="1" applyNumberFormat="1" applyFont="1" applyFill="1" applyBorder="1" applyAlignment="1">
      <alignment horizontal="left" vertical="center" wrapText="1"/>
      <protection locked="0"/>
    </xf>
    <xf numFmtId="49" fontId="1" fillId="6" borderId="0" xfId="1" applyNumberFormat="1" applyFont="1" applyFill="1" applyBorder="1" applyAlignment="1">
      <alignment horizontal="left" vertical="center" wrapText="1"/>
      <protection locked="0"/>
    </xf>
    <xf numFmtId="167" fontId="3" fillId="9" borderId="2" xfId="2" applyNumberFormat="1" applyFont="1" applyFill="1" applyBorder="1" applyAlignment="1">
      <alignment horizontal="right"/>
      <protection locked="0"/>
    </xf>
    <xf numFmtId="0" fontId="0" fillId="0" borderId="7" xfId="0" applyBorder="1" applyAlignment="1">
      <alignment horizontal="center"/>
    </xf>
    <xf numFmtId="0" fontId="3" fillId="4" borderId="8" xfId="0" applyFont="1" applyFill="1" applyBorder="1" applyAlignment="1" applyProtection="1">
      <alignment horizontal="center"/>
      <protection locked="0"/>
    </xf>
    <xf numFmtId="0" fontId="3" fillId="4" borderId="9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0" fillId="0" borderId="10" xfId="0" applyBorder="1" applyAlignment="1">
      <alignment horizontal="center"/>
    </xf>
    <xf numFmtId="0" fontId="3" fillId="9" borderId="2" xfId="2" applyFont="1" applyFill="1" applyBorder="1" applyAlignment="1">
      <alignment horizontal="right"/>
      <protection locked="0"/>
    </xf>
    <xf numFmtId="0" fontId="1" fillId="6" borderId="0" xfId="1" applyFont="1" applyFill="1" applyBorder="1" applyAlignment="1">
      <alignment horizontal="left" vertical="center" wrapText="1"/>
      <protection locked="0"/>
    </xf>
    <xf numFmtId="0" fontId="3" fillId="9" borderId="4" xfId="2" applyFont="1" applyFill="1" applyBorder="1" applyAlignment="1">
      <alignment horizontal="right"/>
      <protection locked="0"/>
    </xf>
    <xf numFmtId="0" fontId="0" fillId="0" borderId="0" xfId="0" applyBorder="1"/>
    <xf numFmtId="49" fontId="1" fillId="6" borderId="11" xfId="1" applyNumberFormat="1" applyFont="1" applyFill="1" applyBorder="1" applyAlignment="1">
      <alignment horizontal="left" vertical="center" wrapText="1"/>
      <protection locked="0"/>
    </xf>
    <xf numFmtId="0" fontId="3" fillId="9" borderId="2" xfId="2" applyFont="1" applyFill="1" applyBorder="1">
      <protection locked="0"/>
    </xf>
    <xf numFmtId="3" fontId="0" fillId="0" borderId="0" xfId="0" applyNumberFormat="1"/>
    <xf numFmtId="3" fontId="4" fillId="0" borderId="0" xfId="0" applyNumberFormat="1" applyFont="1"/>
    <xf numFmtId="3" fontId="4" fillId="0" borderId="0" xfId="0" applyNumberFormat="1" applyFont="1" applyFill="1" applyBorder="1"/>
    <xf numFmtId="17" fontId="0" fillId="7" borderId="0" xfId="0" applyNumberFormat="1" applyFill="1" applyProtection="1"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6" fillId="0" borderId="0" xfId="0" applyFont="1" applyAlignment="1">
      <alignment horizontal="center" vertical="center" wrapText="1"/>
    </xf>
    <xf numFmtId="0" fontId="0" fillId="7" borderId="13" xfId="0" applyFill="1" applyBorder="1" applyAlignment="1">
      <alignment horizontal="left"/>
    </xf>
    <xf numFmtId="49" fontId="0" fillId="7" borderId="13" xfId="0" applyNumberFormat="1" applyFill="1" applyBorder="1" applyAlignment="1">
      <alignment horizontal="left"/>
    </xf>
    <xf numFmtId="0" fontId="0" fillId="7" borderId="13" xfId="0" applyFill="1" applyBorder="1" applyAlignment="1">
      <alignment horizontal="right"/>
    </xf>
    <xf numFmtId="3" fontId="0" fillId="7" borderId="13" xfId="0" applyNumberFormat="1" applyFill="1" applyBorder="1" applyAlignment="1">
      <alignment horizontal="right"/>
    </xf>
    <xf numFmtId="0" fontId="0" fillId="0" borderId="13" xfId="0" applyBorder="1" applyAlignment="1">
      <alignment horizontal="left"/>
    </xf>
    <xf numFmtId="49" fontId="0" fillId="0" borderId="13" xfId="0" applyNumberFormat="1" applyBorder="1" applyAlignment="1">
      <alignment horizontal="left"/>
    </xf>
    <xf numFmtId="0" fontId="0" fillId="0" borderId="13" xfId="0" applyBorder="1" applyAlignment="1">
      <alignment horizontal="right"/>
    </xf>
    <xf numFmtId="3" fontId="0" fillId="0" borderId="13" xfId="0" applyNumberFormat="1" applyBorder="1" applyAlignment="1">
      <alignment horizontal="right"/>
    </xf>
    <xf numFmtId="49" fontId="1" fillId="6" borderId="11" xfId="1" applyNumberFormat="1" applyFont="1" applyFill="1" applyBorder="1" applyAlignment="1">
      <alignment horizontal="left" vertical="center" wrapText="1"/>
      <protection locked="0"/>
    </xf>
    <xf numFmtId="3" fontId="3" fillId="9" borderId="12" xfId="2" applyNumberFormat="1" applyFont="1" applyFill="1" applyBorder="1" applyAlignment="1">
      <alignment horizontal="right"/>
      <protection locked="0"/>
    </xf>
    <xf numFmtId="3" fontId="3" fillId="9" borderId="2" xfId="2" applyNumberFormat="1" applyFont="1" applyFill="1" applyBorder="1" applyAlignment="1">
      <alignment horizontal="right"/>
      <protection locked="0"/>
    </xf>
    <xf numFmtId="0" fontId="7" fillId="0" borderId="0" xfId="0" applyFont="1"/>
    <xf numFmtId="0" fontId="8" fillId="0" borderId="0" xfId="0" applyFont="1"/>
    <xf numFmtId="0" fontId="1" fillId="9" borderId="2" xfId="2" applyFont="1" applyFill="1" applyBorder="1" applyAlignment="1">
      <alignment horizontal="left"/>
      <protection locked="0"/>
    </xf>
    <xf numFmtId="3" fontId="1" fillId="9" borderId="2" xfId="2" applyNumberFormat="1" applyFont="1" applyFill="1" applyBorder="1" applyAlignment="1">
      <alignment horizontal="right"/>
      <protection locked="0"/>
    </xf>
    <xf numFmtId="0" fontId="9" fillId="0" borderId="0" xfId="0" applyFont="1" applyAlignment="1">
      <alignment horizontal="left"/>
    </xf>
    <xf numFmtId="3" fontId="9" fillId="0" borderId="0" xfId="0" applyNumberFormat="1" applyFont="1"/>
    <xf numFmtId="0" fontId="10" fillId="0" borderId="0" xfId="0" applyFont="1" applyAlignment="1">
      <alignment horizontal="center" vertical="center" readingOrder="1"/>
    </xf>
  </cellXfs>
  <cellStyles count="3">
    <cellStyle name="cells" xfId="2" xr:uid="{E52C05C7-D8F6-E146-84CA-017D98B906E5}"/>
    <cellStyle name="column field" xfId="1" xr:uid="{6D3399BB-CF7A-6D46-8E9C-91F0DD1762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62AC-2470-074A-8006-E55E371B5B2C}">
  <dimension ref="A1:U40"/>
  <sheetViews>
    <sheetView workbookViewId="0">
      <selection activeCell="D37" sqref="D37:E40"/>
    </sheetView>
  </sheetViews>
  <sheetFormatPr baseColWidth="10" defaultRowHeight="16" x14ac:dyDescent="0.2"/>
  <sheetData>
    <row r="1" spans="1:21" ht="26" x14ac:dyDescent="0.2">
      <c r="A1" s="5" t="s">
        <v>28</v>
      </c>
      <c r="B1" s="6"/>
      <c r="C1" s="6"/>
      <c r="D1" s="7" t="s">
        <v>128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7" t="s">
        <v>41</v>
      </c>
    </row>
    <row r="2" spans="1:21" ht="40" thickBot="1" x14ac:dyDescent="0.25">
      <c r="A2" s="8"/>
      <c r="B2" s="9" t="s">
        <v>50</v>
      </c>
      <c r="C2" s="9" t="s">
        <v>129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44"/>
      <c r="S2" s="44" t="s">
        <v>131</v>
      </c>
      <c r="T2" s="44" t="s">
        <v>132</v>
      </c>
      <c r="U2" s="44"/>
    </row>
    <row r="3" spans="1:21" ht="17" thickBot="1" x14ac:dyDescent="0.25">
      <c r="A3" s="8"/>
      <c r="B3" s="10" t="s">
        <v>130</v>
      </c>
      <c r="C3" s="11" t="s">
        <v>120</v>
      </c>
      <c r="D3" s="23">
        <v>81469</v>
      </c>
      <c r="E3" s="23">
        <v>80418</v>
      </c>
      <c r="F3" s="23">
        <v>81182</v>
      </c>
      <c r="G3" s="23">
        <v>82052</v>
      </c>
      <c r="H3" s="23">
        <v>82293</v>
      </c>
      <c r="I3" s="23">
        <v>80938</v>
      </c>
      <c r="J3" s="23">
        <v>79975</v>
      </c>
      <c r="K3" s="23">
        <v>79779</v>
      </c>
      <c r="L3" s="23">
        <v>81339</v>
      </c>
      <c r="M3" s="23">
        <v>82997</v>
      </c>
      <c r="N3" s="23">
        <v>87301</v>
      </c>
      <c r="O3" s="23">
        <v>90100</v>
      </c>
      <c r="P3" s="23">
        <v>90599</v>
      </c>
      <c r="Q3" s="23">
        <v>89609</v>
      </c>
      <c r="R3" s="44"/>
      <c r="S3" s="44">
        <v>2.7243332082819727E-4</v>
      </c>
      <c r="T3" s="44">
        <f>SUM(E3:P3)*S3/12</f>
        <v>22.679460983975559</v>
      </c>
      <c r="U3" s="44"/>
    </row>
    <row r="4" spans="1:21" ht="17" thickBot="1" x14ac:dyDescent="0.25">
      <c r="A4" s="8"/>
      <c r="B4" s="6"/>
      <c r="C4" s="11" t="s">
        <v>121</v>
      </c>
      <c r="D4" s="23">
        <v>81761</v>
      </c>
      <c r="E4" s="23">
        <v>80695</v>
      </c>
      <c r="F4" s="23">
        <v>81260</v>
      </c>
      <c r="G4" s="23">
        <v>81668</v>
      </c>
      <c r="H4" s="23">
        <v>81537</v>
      </c>
      <c r="I4" s="23">
        <v>80084</v>
      </c>
      <c r="J4" s="23">
        <v>79319</v>
      </c>
      <c r="K4" s="23">
        <v>79745</v>
      </c>
      <c r="L4" s="23">
        <v>81355</v>
      </c>
      <c r="M4" s="23">
        <v>81760</v>
      </c>
      <c r="N4" s="23">
        <v>84784</v>
      </c>
      <c r="O4" s="23">
        <v>87068</v>
      </c>
      <c r="P4" s="23">
        <v>87643</v>
      </c>
      <c r="Q4" s="23">
        <v>86933</v>
      </c>
      <c r="R4" s="44"/>
      <c r="S4" s="44">
        <v>2.1110711287033706E-4</v>
      </c>
      <c r="T4" s="44">
        <f>SUM(E4:P4)*S4/12</f>
        <v>17.362117468313944</v>
      </c>
      <c r="U4" s="44"/>
    </row>
    <row r="5" spans="1:21" ht="17" thickBot="1" x14ac:dyDescent="0.25">
      <c r="A5" s="8"/>
      <c r="B5" s="10" t="s">
        <v>95</v>
      </c>
      <c r="C5" s="11" t="s">
        <v>120</v>
      </c>
      <c r="D5" s="23">
        <v>274520</v>
      </c>
      <c r="E5" s="23">
        <v>274353</v>
      </c>
      <c r="F5" s="23">
        <v>278476</v>
      </c>
      <c r="G5" s="23">
        <v>281154</v>
      </c>
      <c r="H5" s="23">
        <v>283167</v>
      </c>
      <c r="I5" s="23">
        <v>282333</v>
      </c>
      <c r="J5" s="23">
        <v>284303</v>
      </c>
      <c r="K5" s="23">
        <v>286016</v>
      </c>
      <c r="L5" s="23">
        <v>288846</v>
      </c>
      <c r="M5" s="23">
        <v>288305</v>
      </c>
      <c r="N5" s="23">
        <v>288632</v>
      </c>
      <c r="O5" s="23">
        <v>291366</v>
      </c>
      <c r="P5" s="23">
        <v>293251</v>
      </c>
      <c r="Q5" s="23">
        <v>297148</v>
      </c>
      <c r="R5" s="44"/>
      <c r="S5" s="44">
        <v>6.7303557740843909E-4</v>
      </c>
      <c r="T5" s="44">
        <f t="shared" ref="T5:T26" si="0">SUM(E5:P5)*S5/12</f>
        <v>191.82646899362484</v>
      </c>
      <c r="U5" s="44"/>
    </row>
    <row r="6" spans="1:21" ht="17" thickBot="1" x14ac:dyDescent="0.25">
      <c r="A6" s="8"/>
      <c r="B6" s="6"/>
      <c r="C6" s="11" t="s">
        <v>121</v>
      </c>
      <c r="D6" s="23">
        <v>308095</v>
      </c>
      <c r="E6" s="23">
        <v>306626</v>
      </c>
      <c r="F6" s="23">
        <v>308216</v>
      </c>
      <c r="G6" s="23">
        <v>308731</v>
      </c>
      <c r="H6" s="23">
        <v>309441</v>
      </c>
      <c r="I6" s="23">
        <v>308274</v>
      </c>
      <c r="J6" s="23">
        <v>309742</v>
      </c>
      <c r="K6" s="23">
        <v>311248</v>
      </c>
      <c r="L6" s="23">
        <v>313919</v>
      </c>
      <c r="M6" s="23">
        <v>313460</v>
      </c>
      <c r="N6" s="23">
        <v>313404</v>
      </c>
      <c r="O6" s="23">
        <v>315507</v>
      </c>
      <c r="P6" s="23">
        <v>316211</v>
      </c>
      <c r="Q6" s="23">
        <v>317843</v>
      </c>
      <c r="R6" s="44"/>
      <c r="S6" s="44">
        <v>3.3213697923896018E-4</v>
      </c>
      <c r="T6" s="44">
        <f t="shared" si="0"/>
        <v>103.37151793209203</v>
      </c>
      <c r="U6" s="44"/>
    </row>
    <row r="7" spans="1:21" ht="17" thickBot="1" x14ac:dyDescent="0.25">
      <c r="A7" s="8"/>
      <c r="B7" s="10" t="s">
        <v>96</v>
      </c>
      <c r="C7" s="11" t="s">
        <v>120</v>
      </c>
      <c r="D7" s="23">
        <v>302108</v>
      </c>
      <c r="E7" s="23">
        <v>302770</v>
      </c>
      <c r="F7" s="23">
        <v>306871</v>
      </c>
      <c r="G7" s="23">
        <v>309519</v>
      </c>
      <c r="H7" s="23">
        <v>311760</v>
      </c>
      <c r="I7" s="23">
        <v>311531</v>
      </c>
      <c r="J7" s="23">
        <v>313896</v>
      </c>
      <c r="K7" s="23">
        <v>318360</v>
      </c>
      <c r="L7" s="23">
        <v>324658</v>
      </c>
      <c r="M7" s="23">
        <v>330527</v>
      </c>
      <c r="N7" s="23">
        <v>334753</v>
      </c>
      <c r="O7" s="23">
        <v>337702</v>
      </c>
      <c r="P7" s="23">
        <v>339668</v>
      </c>
      <c r="Q7" s="23">
        <v>343338</v>
      </c>
      <c r="R7" s="44"/>
      <c r="S7" s="44">
        <v>8.705367534099902E-4</v>
      </c>
      <c r="T7" s="44">
        <f t="shared" si="0"/>
        <v>278.7179387210403</v>
      </c>
      <c r="U7" s="44"/>
    </row>
    <row r="8" spans="1:21" ht="17" thickBot="1" x14ac:dyDescent="0.25">
      <c r="A8" s="8"/>
      <c r="B8" s="6"/>
      <c r="C8" s="11" t="s">
        <v>121</v>
      </c>
      <c r="D8" s="23">
        <v>459042</v>
      </c>
      <c r="E8" s="23">
        <v>456816</v>
      </c>
      <c r="F8" s="23">
        <v>457775</v>
      </c>
      <c r="G8" s="23">
        <v>458278</v>
      </c>
      <c r="H8" s="23">
        <v>457890</v>
      </c>
      <c r="I8" s="23">
        <v>456964</v>
      </c>
      <c r="J8" s="23">
        <v>457524</v>
      </c>
      <c r="K8" s="23">
        <v>459427</v>
      </c>
      <c r="L8" s="23">
        <v>462314</v>
      </c>
      <c r="M8" s="23">
        <v>464639</v>
      </c>
      <c r="N8" s="23">
        <v>465446</v>
      </c>
      <c r="O8" s="23">
        <v>465828</v>
      </c>
      <c r="P8" s="23">
        <v>465965</v>
      </c>
      <c r="Q8" s="23">
        <v>466417</v>
      </c>
      <c r="R8" s="44"/>
      <c r="S8" s="44">
        <v>4.1706968613287664E-4</v>
      </c>
      <c r="T8" s="44">
        <f t="shared" si="0"/>
        <v>192.16020060756111</v>
      </c>
      <c r="U8" s="44"/>
    </row>
    <row r="9" spans="1:21" ht="17" thickBot="1" x14ac:dyDescent="0.25">
      <c r="A9" s="8"/>
      <c r="B9" s="10" t="s">
        <v>97</v>
      </c>
      <c r="C9" s="11" t="s">
        <v>120</v>
      </c>
      <c r="D9" s="23">
        <v>358346</v>
      </c>
      <c r="E9" s="23">
        <v>357767</v>
      </c>
      <c r="F9" s="23">
        <v>363273</v>
      </c>
      <c r="G9" s="23">
        <v>367464</v>
      </c>
      <c r="H9" s="23">
        <v>371598</v>
      </c>
      <c r="I9" s="23">
        <v>373704</v>
      </c>
      <c r="J9" s="23">
        <v>375710</v>
      </c>
      <c r="K9" s="23">
        <v>375838</v>
      </c>
      <c r="L9" s="23">
        <v>376849</v>
      </c>
      <c r="M9" s="23">
        <v>380518</v>
      </c>
      <c r="N9" s="23">
        <v>385316</v>
      </c>
      <c r="O9" s="23">
        <v>392673</v>
      </c>
      <c r="P9" s="23">
        <v>394931</v>
      </c>
      <c r="Q9" s="23">
        <v>398178</v>
      </c>
      <c r="R9" s="44"/>
      <c r="S9" s="44">
        <v>1.4259206785919947E-3</v>
      </c>
      <c r="T9" s="44">
        <f t="shared" si="0"/>
        <v>536.57882324981949</v>
      </c>
      <c r="U9" s="44"/>
    </row>
    <row r="10" spans="1:21" ht="17" thickBot="1" x14ac:dyDescent="0.25">
      <c r="A10" s="8"/>
      <c r="B10" s="6"/>
      <c r="C10" s="11" t="s">
        <v>121</v>
      </c>
      <c r="D10" s="23">
        <v>628685</v>
      </c>
      <c r="E10" s="23">
        <v>627134</v>
      </c>
      <c r="F10" s="23">
        <v>630267</v>
      </c>
      <c r="G10" s="23">
        <v>631436</v>
      </c>
      <c r="H10" s="23">
        <v>632765</v>
      </c>
      <c r="I10" s="23">
        <v>632711</v>
      </c>
      <c r="J10" s="23">
        <v>632254</v>
      </c>
      <c r="K10" s="23">
        <v>630531</v>
      </c>
      <c r="L10" s="23">
        <v>629118</v>
      </c>
      <c r="M10" s="23">
        <v>629284</v>
      </c>
      <c r="N10" s="23">
        <v>629927</v>
      </c>
      <c r="O10" s="23">
        <v>630662</v>
      </c>
      <c r="P10" s="23">
        <v>630054</v>
      </c>
      <c r="Q10" s="23">
        <v>630376</v>
      </c>
      <c r="R10" s="44"/>
      <c r="S10" s="44">
        <v>7.3850005215395846E-4</v>
      </c>
      <c r="T10" s="44">
        <f t="shared" si="0"/>
        <v>465.63308334202566</v>
      </c>
      <c r="U10" s="44"/>
    </row>
    <row r="11" spans="1:21" ht="17" thickBot="1" x14ac:dyDescent="0.25">
      <c r="A11" s="8"/>
      <c r="B11" s="10" t="s">
        <v>98</v>
      </c>
      <c r="C11" s="11" t="s">
        <v>120</v>
      </c>
      <c r="D11" s="23">
        <v>404787</v>
      </c>
      <c r="E11" s="23">
        <v>407294</v>
      </c>
      <c r="F11" s="23">
        <v>415059</v>
      </c>
      <c r="G11" s="23">
        <v>420955</v>
      </c>
      <c r="H11" s="23">
        <v>426702</v>
      </c>
      <c r="I11" s="23">
        <v>428629</v>
      </c>
      <c r="J11" s="23">
        <v>430845</v>
      </c>
      <c r="K11" s="23">
        <v>432055</v>
      </c>
      <c r="L11" s="23">
        <v>433474</v>
      </c>
      <c r="M11" s="23">
        <v>435704</v>
      </c>
      <c r="N11" s="23">
        <v>439292</v>
      </c>
      <c r="O11" s="23">
        <v>445163</v>
      </c>
      <c r="P11" s="23">
        <v>447902</v>
      </c>
      <c r="Q11" s="23">
        <v>452119</v>
      </c>
      <c r="R11" s="44"/>
      <c r="S11" s="44">
        <v>2.2725565321914205E-3</v>
      </c>
      <c r="T11" s="44">
        <f t="shared" si="0"/>
        <v>977.78146207397378</v>
      </c>
      <c r="U11" s="44"/>
    </row>
    <row r="12" spans="1:21" ht="17" thickBot="1" x14ac:dyDescent="0.25">
      <c r="A12" s="8"/>
      <c r="B12" s="6"/>
      <c r="C12" s="11" t="s">
        <v>121</v>
      </c>
      <c r="D12" s="23">
        <v>719132</v>
      </c>
      <c r="E12" s="23">
        <v>721395</v>
      </c>
      <c r="F12" s="23">
        <v>730438</v>
      </c>
      <c r="G12" s="23">
        <v>735439</v>
      </c>
      <c r="H12" s="23">
        <v>738977</v>
      </c>
      <c r="I12" s="23">
        <v>740378</v>
      </c>
      <c r="J12" s="23">
        <v>741997</v>
      </c>
      <c r="K12" s="23">
        <v>742780</v>
      </c>
      <c r="L12" s="23">
        <v>743200</v>
      </c>
      <c r="M12" s="23">
        <v>744357</v>
      </c>
      <c r="N12" s="23">
        <v>745199</v>
      </c>
      <c r="O12" s="23">
        <v>747733</v>
      </c>
      <c r="P12" s="23">
        <v>748953</v>
      </c>
      <c r="Q12" s="23">
        <v>750443</v>
      </c>
      <c r="R12" s="44"/>
      <c r="S12" s="44">
        <v>1.1509848481666156E-3</v>
      </c>
      <c r="T12" s="44">
        <f t="shared" si="0"/>
        <v>851.8099320750913</v>
      </c>
      <c r="U12" s="44"/>
    </row>
    <row r="13" spans="1:21" ht="17" thickBot="1" x14ac:dyDescent="0.25">
      <c r="A13" s="8"/>
      <c r="B13" s="10" t="s">
        <v>99</v>
      </c>
      <c r="C13" s="11" t="s">
        <v>120</v>
      </c>
      <c r="D13" s="23">
        <v>392668</v>
      </c>
      <c r="E13" s="23">
        <v>395138</v>
      </c>
      <c r="F13" s="23">
        <v>404921</v>
      </c>
      <c r="G13" s="23">
        <v>411592</v>
      </c>
      <c r="H13" s="23">
        <v>418710</v>
      </c>
      <c r="I13" s="23">
        <v>421546</v>
      </c>
      <c r="J13" s="23">
        <v>423992</v>
      </c>
      <c r="K13" s="23">
        <v>425094</v>
      </c>
      <c r="L13" s="23">
        <v>426292</v>
      </c>
      <c r="M13" s="23">
        <v>428383</v>
      </c>
      <c r="N13" s="23">
        <v>431303</v>
      </c>
      <c r="O13" s="23">
        <v>435721</v>
      </c>
      <c r="P13" s="23">
        <v>437768</v>
      </c>
      <c r="Q13" s="23">
        <v>440729</v>
      </c>
      <c r="R13" s="44"/>
      <c r="S13" s="44">
        <v>3.377508675460546E-3</v>
      </c>
      <c r="T13" s="44">
        <f t="shared" si="0"/>
        <v>1424.3122959850896</v>
      </c>
      <c r="U13" s="44"/>
    </row>
    <row r="14" spans="1:21" ht="17" thickBot="1" x14ac:dyDescent="0.25">
      <c r="A14" s="8"/>
      <c r="B14" s="6"/>
      <c r="C14" s="11" t="s">
        <v>121</v>
      </c>
      <c r="D14" s="23">
        <v>641911</v>
      </c>
      <c r="E14" s="23">
        <v>645671</v>
      </c>
      <c r="F14" s="23">
        <v>657081</v>
      </c>
      <c r="G14" s="23">
        <v>663026</v>
      </c>
      <c r="H14" s="23">
        <v>668594</v>
      </c>
      <c r="I14" s="23">
        <v>671443</v>
      </c>
      <c r="J14" s="23">
        <v>674776</v>
      </c>
      <c r="K14" s="23">
        <v>675801</v>
      </c>
      <c r="L14" s="23">
        <v>677434</v>
      </c>
      <c r="M14" s="23">
        <v>679471</v>
      </c>
      <c r="N14" s="23">
        <v>681874</v>
      </c>
      <c r="O14" s="23">
        <v>685050</v>
      </c>
      <c r="P14" s="23">
        <v>685855</v>
      </c>
      <c r="Q14" s="23">
        <v>688931</v>
      </c>
      <c r="R14" s="44"/>
      <c r="S14" s="44">
        <v>2.0452948593318383E-3</v>
      </c>
      <c r="T14" s="44">
        <f t="shared" si="0"/>
        <v>1374.7919814816598</v>
      </c>
      <c r="U14" s="44"/>
    </row>
    <row r="15" spans="1:21" ht="17" thickBot="1" x14ac:dyDescent="0.25">
      <c r="A15" s="8"/>
      <c r="B15" s="10" t="s">
        <v>100</v>
      </c>
      <c r="C15" s="11" t="s">
        <v>120</v>
      </c>
      <c r="D15" s="23">
        <v>340329</v>
      </c>
      <c r="E15" s="23">
        <v>344961</v>
      </c>
      <c r="F15" s="23">
        <v>359185</v>
      </c>
      <c r="G15" s="23">
        <v>367664</v>
      </c>
      <c r="H15" s="23">
        <v>374339</v>
      </c>
      <c r="I15" s="23">
        <v>377629</v>
      </c>
      <c r="J15" s="23">
        <v>381493</v>
      </c>
      <c r="K15" s="23">
        <v>383284</v>
      </c>
      <c r="L15" s="23">
        <v>385461</v>
      </c>
      <c r="M15" s="23">
        <v>388091</v>
      </c>
      <c r="N15" s="23">
        <v>391324</v>
      </c>
      <c r="O15" s="23">
        <v>395741</v>
      </c>
      <c r="P15" s="23">
        <v>398123</v>
      </c>
      <c r="Q15" s="23">
        <v>400929</v>
      </c>
      <c r="R15" s="44"/>
      <c r="S15" s="44">
        <v>5.6359662078336384E-3</v>
      </c>
      <c r="T15" s="44">
        <f t="shared" si="0"/>
        <v>2135.7000797542387</v>
      </c>
      <c r="U15" s="44"/>
    </row>
    <row r="16" spans="1:21" ht="17" thickBot="1" x14ac:dyDescent="0.25">
      <c r="A16" s="8"/>
      <c r="B16" s="6"/>
      <c r="C16" s="11" t="s">
        <v>121</v>
      </c>
      <c r="D16" s="23">
        <v>478376</v>
      </c>
      <c r="E16" s="23">
        <v>483630</v>
      </c>
      <c r="F16" s="23">
        <v>498612</v>
      </c>
      <c r="G16" s="23">
        <v>506863</v>
      </c>
      <c r="H16" s="23">
        <v>513434</v>
      </c>
      <c r="I16" s="23">
        <v>517377</v>
      </c>
      <c r="J16" s="23">
        <v>522350</v>
      </c>
      <c r="K16" s="23">
        <v>525067</v>
      </c>
      <c r="L16" s="23">
        <v>528671</v>
      </c>
      <c r="M16" s="23">
        <v>532125</v>
      </c>
      <c r="N16" s="23">
        <v>535787</v>
      </c>
      <c r="O16" s="23">
        <v>540277</v>
      </c>
      <c r="P16" s="23">
        <v>542662</v>
      </c>
      <c r="Q16" s="23">
        <v>546340</v>
      </c>
      <c r="R16" s="44"/>
      <c r="S16" s="44">
        <v>2.9748909885836377E-3</v>
      </c>
      <c r="T16" s="44">
        <f t="shared" si="0"/>
        <v>1548.6427205407199</v>
      </c>
      <c r="U16" s="44"/>
    </row>
    <row r="17" spans="1:21" ht="17" thickBot="1" x14ac:dyDescent="0.25">
      <c r="A17" s="8"/>
      <c r="B17" s="10" t="s">
        <v>101</v>
      </c>
      <c r="C17" s="11" t="s">
        <v>120</v>
      </c>
      <c r="D17" s="23">
        <v>312455</v>
      </c>
      <c r="E17" s="23">
        <v>317336</v>
      </c>
      <c r="F17" s="23">
        <v>324493</v>
      </c>
      <c r="G17" s="23">
        <v>327186</v>
      </c>
      <c r="H17" s="23">
        <v>329460</v>
      </c>
      <c r="I17" s="23">
        <v>330723</v>
      </c>
      <c r="J17" s="23">
        <v>338283</v>
      </c>
      <c r="K17" s="23">
        <v>345266</v>
      </c>
      <c r="L17" s="23">
        <v>357979</v>
      </c>
      <c r="M17" s="23">
        <v>366577</v>
      </c>
      <c r="N17" s="23">
        <v>371471</v>
      </c>
      <c r="O17" s="23">
        <v>374619</v>
      </c>
      <c r="P17" s="23">
        <v>375331</v>
      </c>
      <c r="Q17" s="23">
        <v>376927</v>
      </c>
      <c r="R17" s="44"/>
      <c r="S17" s="44">
        <v>8.4624748349641839E-3</v>
      </c>
      <c r="T17" s="44">
        <f t="shared" si="0"/>
        <v>2932.7580996301326</v>
      </c>
      <c r="U17" s="44"/>
    </row>
    <row r="18" spans="1:21" ht="17" thickBot="1" x14ac:dyDescent="0.25">
      <c r="A18" s="8"/>
      <c r="B18" s="6"/>
      <c r="C18" s="11" t="s">
        <v>121</v>
      </c>
      <c r="D18" s="23">
        <v>385572</v>
      </c>
      <c r="E18" s="23">
        <v>389180</v>
      </c>
      <c r="F18" s="23">
        <v>395496</v>
      </c>
      <c r="G18" s="23">
        <v>398456</v>
      </c>
      <c r="H18" s="23">
        <v>401004</v>
      </c>
      <c r="I18" s="23">
        <v>403204</v>
      </c>
      <c r="J18" s="23">
        <v>411236</v>
      </c>
      <c r="K18" s="23">
        <v>418662</v>
      </c>
      <c r="L18" s="23">
        <v>432342</v>
      </c>
      <c r="M18" s="23">
        <v>440642</v>
      </c>
      <c r="N18" s="23">
        <v>445249</v>
      </c>
      <c r="O18" s="23">
        <v>447974</v>
      </c>
      <c r="P18" s="23">
        <v>448390</v>
      </c>
      <c r="Q18" s="23">
        <v>450125</v>
      </c>
      <c r="R18" s="44"/>
      <c r="S18" s="44">
        <v>4.7924793169710151E-3</v>
      </c>
      <c r="T18" s="44">
        <f t="shared" si="0"/>
        <v>2009.580430325904</v>
      </c>
      <c r="U18" s="44"/>
    </row>
    <row r="19" spans="1:21" ht="17" thickBot="1" x14ac:dyDescent="0.25">
      <c r="A19" s="8"/>
      <c r="B19" s="10" t="s">
        <v>102</v>
      </c>
      <c r="C19" s="11" t="s">
        <v>120</v>
      </c>
      <c r="D19" s="23">
        <v>273121</v>
      </c>
      <c r="E19" s="23">
        <v>276031</v>
      </c>
      <c r="F19" s="23">
        <v>280932</v>
      </c>
      <c r="G19" s="23">
        <v>283823</v>
      </c>
      <c r="H19" s="23">
        <v>290020</v>
      </c>
      <c r="I19" s="23">
        <v>299115</v>
      </c>
      <c r="J19" s="23">
        <v>316385</v>
      </c>
      <c r="K19" s="23">
        <v>333355</v>
      </c>
      <c r="L19" s="23">
        <v>346546</v>
      </c>
      <c r="M19" s="23">
        <v>351472</v>
      </c>
      <c r="N19" s="23">
        <v>356721</v>
      </c>
      <c r="O19" s="23">
        <v>362137</v>
      </c>
      <c r="P19" s="23">
        <v>365543</v>
      </c>
      <c r="Q19" s="23">
        <v>368701</v>
      </c>
      <c r="R19" s="44"/>
      <c r="S19" s="44">
        <v>1.1592781130924252E-2</v>
      </c>
      <c r="T19" s="44">
        <f t="shared" si="0"/>
        <v>3731.0206791766614</v>
      </c>
      <c r="U19" s="44"/>
    </row>
    <row r="20" spans="1:21" ht="17" thickBot="1" x14ac:dyDescent="0.25">
      <c r="A20" s="8"/>
      <c r="B20" s="6"/>
      <c r="C20" s="11" t="s">
        <v>121</v>
      </c>
      <c r="D20" s="23">
        <v>299923</v>
      </c>
      <c r="E20" s="23">
        <v>302061</v>
      </c>
      <c r="F20" s="23">
        <v>306491</v>
      </c>
      <c r="G20" s="23">
        <v>309488</v>
      </c>
      <c r="H20" s="23">
        <v>316828</v>
      </c>
      <c r="I20" s="23">
        <v>327861</v>
      </c>
      <c r="J20" s="23">
        <v>348586</v>
      </c>
      <c r="K20" s="23">
        <v>367226</v>
      </c>
      <c r="L20" s="23">
        <v>380857</v>
      </c>
      <c r="M20" s="23">
        <v>386228</v>
      </c>
      <c r="N20" s="23">
        <v>391828</v>
      </c>
      <c r="O20" s="23">
        <v>397725</v>
      </c>
      <c r="P20" s="23">
        <v>401398</v>
      </c>
      <c r="Q20" s="23">
        <v>404230</v>
      </c>
      <c r="R20" s="44"/>
      <c r="S20" s="44">
        <v>6.7480928660485842E-3</v>
      </c>
      <c r="T20" s="44">
        <f t="shared" si="0"/>
        <v>2382.4012525137928</v>
      </c>
      <c r="U20" s="44"/>
    </row>
    <row r="21" spans="1:21" ht="17" thickBot="1" x14ac:dyDescent="0.25">
      <c r="A21" s="8"/>
      <c r="B21" s="10" t="s">
        <v>103</v>
      </c>
      <c r="C21" s="11" t="s">
        <v>120</v>
      </c>
      <c r="D21" s="23">
        <v>232899</v>
      </c>
      <c r="E21" s="23">
        <v>235816</v>
      </c>
      <c r="F21" s="23">
        <v>240855</v>
      </c>
      <c r="G21" s="23">
        <v>247395</v>
      </c>
      <c r="H21" s="23">
        <v>255820</v>
      </c>
      <c r="I21" s="23">
        <v>264439</v>
      </c>
      <c r="J21" s="23">
        <v>280241</v>
      </c>
      <c r="K21" s="23">
        <v>286833</v>
      </c>
      <c r="L21" s="23">
        <v>296774</v>
      </c>
      <c r="M21" s="23">
        <v>304742</v>
      </c>
      <c r="N21" s="23">
        <v>316753</v>
      </c>
      <c r="O21" s="23">
        <v>328560</v>
      </c>
      <c r="P21" s="23">
        <v>333710</v>
      </c>
      <c r="Q21" s="23">
        <v>336926</v>
      </c>
      <c r="R21" s="44"/>
      <c r="S21" s="44">
        <v>1.68127262335683E-2</v>
      </c>
      <c r="T21" s="44">
        <f t="shared" si="0"/>
        <v>4752.3104162697664</v>
      </c>
      <c r="U21" s="44"/>
    </row>
    <row r="22" spans="1:21" ht="17" thickBot="1" x14ac:dyDescent="0.25">
      <c r="A22" s="8"/>
      <c r="B22" s="6"/>
      <c r="C22" s="11" t="s">
        <v>121</v>
      </c>
      <c r="D22" s="23">
        <v>241393</v>
      </c>
      <c r="E22" s="23">
        <v>243745</v>
      </c>
      <c r="F22" s="23">
        <v>248037</v>
      </c>
      <c r="G22" s="23">
        <v>254955</v>
      </c>
      <c r="H22" s="23">
        <v>264376</v>
      </c>
      <c r="I22" s="23">
        <v>275022</v>
      </c>
      <c r="J22" s="23">
        <v>292862</v>
      </c>
      <c r="K22" s="23">
        <v>299530</v>
      </c>
      <c r="L22" s="23">
        <v>310942</v>
      </c>
      <c r="M22" s="23">
        <v>320881</v>
      </c>
      <c r="N22" s="23">
        <v>336101</v>
      </c>
      <c r="O22" s="23">
        <v>349645</v>
      </c>
      <c r="P22" s="23">
        <v>355097</v>
      </c>
      <c r="Q22" s="23">
        <v>357819</v>
      </c>
      <c r="R22" s="44"/>
      <c r="S22" s="44">
        <v>1.0549004861540114E-2</v>
      </c>
      <c r="T22" s="44">
        <f t="shared" si="0"/>
        <v>3121.7960184389353</v>
      </c>
      <c r="U22" s="44"/>
    </row>
    <row r="23" spans="1:21" ht="17" thickBot="1" x14ac:dyDescent="0.25">
      <c r="A23" s="8"/>
      <c r="B23" s="10" t="s">
        <v>48</v>
      </c>
      <c r="C23" s="11" t="s">
        <v>120</v>
      </c>
      <c r="D23" s="23">
        <v>76271</v>
      </c>
      <c r="E23" s="23">
        <v>78335</v>
      </c>
      <c r="F23" s="23">
        <v>80123</v>
      </c>
      <c r="G23" s="23">
        <v>81069</v>
      </c>
      <c r="H23" s="23">
        <v>82422</v>
      </c>
      <c r="I23" s="23">
        <v>83130</v>
      </c>
      <c r="J23" s="23">
        <v>84797</v>
      </c>
      <c r="K23" s="23">
        <v>86141</v>
      </c>
      <c r="L23" s="23">
        <v>88634</v>
      </c>
      <c r="M23" s="23">
        <v>91139</v>
      </c>
      <c r="N23" s="23">
        <v>95235</v>
      </c>
      <c r="O23" s="23">
        <v>97916</v>
      </c>
      <c r="P23" s="23">
        <v>99837</v>
      </c>
      <c r="Q23" s="23">
        <v>102213</v>
      </c>
      <c r="R23" s="44"/>
      <c r="S23" s="44">
        <v>2.5778815530813539E-2</v>
      </c>
      <c r="T23" s="44">
        <f t="shared" si="0"/>
        <v>2253.0212162312969</v>
      </c>
      <c r="U23" s="44"/>
    </row>
    <row r="24" spans="1:21" ht="17" thickBot="1" x14ac:dyDescent="0.25">
      <c r="A24" s="8"/>
      <c r="B24" s="6"/>
      <c r="C24" s="11" t="s">
        <v>121</v>
      </c>
      <c r="D24" s="23">
        <v>52164</v>
      </c>
      <c r="E24" s="23">
        <v>53368</v>
      </c>
      <c r="F24" s="23">
        <v>54335</v>
      </c>
      <c r="G24" s="23">
        <v>55031</v>
      </c>
      <c r="H24" s="23">
        <v>55954</v>
      </c>
      <c r="I24" s="23">
        <v>56707</v>
      </c>
      <c r="J24" s="23">
        <v>57782</v>
      </c>
      <c r="K24" s="23">
        <v>58656</v>
      </c>
      <c r="L24" s="23">
        <v>60655</v>
      </c>
      <c r="M24" s="23">
        <v>62935</v>
      </c>
      <c r="N24" s="23">
        <v>66803</v>
      </c>
      <c r="O24" s="23">
        <v>69726</v>
      </c>
      <c r="P24" s="23">
        <v>71523</v>
      </c>
      <c r="Q24" s="23">
        <v>74115</v>
      </c>
      <c r="R24" s="44"/>
      <c r="S24" s="44">
        <v>1.7002508290827063E-2</v>
      </c>
      <c r="T24" s="44">
        <f t="shared" si="0"/>
        <v>1025.0741404755092</v>
      </c>
      <c r="U24" s="44"/>
    </row>
    <row r="25" spans="1:21" ht="17" thickBot="1" x14ac:dyDescent="0.25">
      <c r="A25" s="8"/>
      <c r="B25" s="10" t="s">
        <v>62</v>
      </c>
      <c r="C25" s="11" t="s">
        <v>120</v>
      </c>
      <c r="D25" s="23">
        <v>6562</v>
      </c>
      <c r="E25" s="23">
        <v>7293</v>
      </c>
      <c r="F25" s="23">
        <v>7882</v>
      </c>
      <c r="G25" s="23">
        <v>8158</v>
      </c>
      <c r="H25" s="23">
        <v>8526</v>
      </c>
      <c r="I25" s="23">
        <v>8826</v>
      </c>
      <c r="J25" s="23">
        <v>9169</v>
      </c>
      <c r="K25" s="23">
        <v>9493</v>
      </c>
      <c r="L25" s="23">
        <v>9857</v>
      </c>
      <c r="M25" s="23">
        <v>10052</v>
      </c>
      <c r="N25" s="23">
        <v>10349</v>
      </c>
      <c r="O25" s="23">
        <v>10625</v>
      </c>
      <c r="P25" s="23">
        <v>10555</v>
      </c>
      <c r="Q25" s="23">
        <v>10830</v>
      </c>
      <c r="R25" s="44"/>
      <c r="S25" s="44">
        <v>7.7559490868843381E-2</v>
      </c>
      <c r="T25" s="44">
        <f t="shared" si="0"/>
        <v>716.0356829920679</v>
      </c>
      <c r="U25" s="44"/>
    </row>
    <row r="26" spans="1:21" ht="17" thickBot="1" x14ac:dyDescent="0.25">
      <c r="A26" s="8"/>
      <c r="B26" s="6"/>
      <c r="C26" s="11" t="s">
        <v>121</v>
      </c>
      <c r="D26" s="23">
        <v>1694</v>
      </c>
      <c r="E26" s="23">
        <v>1934</v>
      </c>
      <c r="F26" s="23">
        <v>2121</v>
      </c>
      <c r="G26" s="23">
        <v>2203</v>
      </c>
      <c r="H26" s="23">
        <v>2311</v>
      </c>
      <c r="I26" s="23">
        <v>2370</v>
      </c>
      <c r="J26" s="23">
        <v>2497</v>
      </c>
      <c r="K26" s="23">
        <v>2564</v>
      </c>
      <c r="L26" s="23">
        <v>2674</v>
      </c>
      <c r="M26" s="23">
        <v>2728</v>
      </c>
      <c r="N26" s="23">
        <v>2787</v>
      </c>
      <c r="O26" s="23">
        <v>2746</v>
      </c>
      <c r="P26" s="23">
        <v>2529</v>
      </c>
      <c r="Q26" s="23">
        <v>2533</v>
      </c>
      <c r="R26" s="44"/>
      <c r="S26" s="44">
        <v>6.575068223913258E-2</v>
      </c>
      <c r="T26" s="44">
        <f t="shared" si="0"/>
        <v>161.4398417911502</v>
      </c>
      <c r="U26" s="44"/>
    </row>
    <row r="27" spans="1:21" ht="17" thickBot="1" x14ac:dyDescent="0.25">
      <c r="A27" s="8"/>
      <c r="B27" s="10" t="s">
        <v>5</v>
      </c>
      <c r="C27" s="11" t="s">
        <v>120</v>
      </c>
      <c r="D27" s="23">
        <v>3055537</v>
      </c>
      <c r="E27" s="23">
        <v>3077507</v>
      </c>
      <c r="F27" s="23">
        <v>3143248</v>
      </c>
      <c r="G27" s="23">
        <v>3188023</v>
      </c>
      <c r="H27" s="23">
        <v>3234821</v>
      </c>
      <c r="I27" s="23">
        <v>3262540</v>
      </c>
      <c r="J27" s="23">
        <v>3319088</v>
      </c>
      <c r="K27" s="23">
        <v>3361515</v>
      </c>
      <c r="L27" s="23">
        <v>3416716</v>
      </c>
      <c r="M27" s="23">
        <v>3458509</v>
      </c>
      <c r="N27" s="23">
        <v>3508453</v>
      </c>
      <c r="O27" s="23">
        <v>3562322</v>
      </c>
      <c r="P27" s="23">
        <v>3587215</v>
      </c>
      <c r="Q27" s="23">
        <v>3617651</v>
      </c>
      <c r="R27" s="44"/>
      <c r="S27" s="44"/>
      <c r="T27" s="44">
        <f>SUM(T3+T5+T7+T9+T11+T13+T15+T17+T19+T21+T23+T25)</f>
        <v>19952.742624061688</v>
      </c>
      <c r="U27" s="44" t="s">
        <v>137</v>
      </c>
    </row>
    <row r="28" spans="1:21" ht="17" thickBot="1" x14ac:dyDescent="0.25">
      <c r="A28" s="8"/>
      <c r="B28" s="6"/>
      <c r="C28" s="11" t="s">
        <v>121</v>
      </c>
      <c r="D28" s="23">
        <v>4297756</v>
      </c>
      <c r="E28" s="23">
        <v>4312240</v>
      </c>
      <c r="F28" s="23">
        <v>4370120</v>
      </c>
      <c r="G28" s="23">
        <v>4405575</v>
      </c>
      <c r="H28" s="23">
        <v>4443118</v>
      </c>
      <c r="I28" s="23">
        <v>4472402</v>
      </c>
      <c r="J28" s="23">
        <v>4530917</v>
      </c>
      <c r="K28" s="23">
        <v>4571241</v>
      </c>
      <c r="L28" s="23">
        <v>4623476</v>
      </c>
      <c r="M28" s="23">
        <v>4658509</v>
      </c>
      <c r="N28" s="23">
        <v>4699192</v>
      </c>
      <c r="O28" s="23">
        <v>4739943</v>
      </c>
      <c r="P28" s="23">
        <v>4756267</v>
      </c>
      <c r="Q28" s="23">
        <v>4776110</v>
      </c>
      <c r="R28" s="44"/>
      <c r="S28" s="44"/>
      <c r="T28" s="44">
        <f>SUM(T4+T6+T8+T10+T12+T14+T16+T18+T20+T22+T24+T26)</f>
        <v>13254.063236992757</v>
      </c>
      <c r="U28" s="44" t="s">
        <v>138</v>
      </c>
    </row>
    <row r="29" spans="1:21" ht="17" thickBot="1" x14ac:dyDescent="0.25">
      <c r="A29" s="8"/>
      <c r="B29" s="10"/>
      <c r="C29" s="11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21"/>
      <c r="R29" s="44"/>
      <c r="S29" s="44"/>
      <c r="T29" s="44"/>
      <c r="U29" s="44"/>
    </row>
    <row r="30" spans="1:21" ht="17" thickBot="1" x14ac:dyDescent="0.25">
      <c r="A30" s="8"/>
      <c r="B30" s="10"/>
      <c r="C30" s="11" t="s">
        <v>5</v>
      </c>
      <c r="D30" s="18">
        <f>SUM(D27:D28)</f>
        <v>7353293</v>
      </c>
      <c r="E30" s="18">
        <f t="shared" ref="E30:Q30" si="1">SUM(E27:E28)</f>
        <v>7389747</v>
      </c>
      <c r="F30" s="18">
        <f t="shared" si="1"/>
        <v>7513368</v>
      </c>
      <c r="G30" s="18">
        <f t="shared" si="1"/>
        <v>7593598</v>
      </c>
      <c r="H30" s="18">
        <f t="shared" si="1"/>
        <v>7677939</v>
      </c>
      <c r="I30" s="18">
        <f t="shared" si="1"/>
        <v>7734942</v>
      </c>
      <c r="J30" s="18">
        <f t="shared" si="1"/>
        <v>7850005</v>
      </c>
      <c r="K30" s="18">
        <f t="shared" si="1"/>
        <v>7932756</v>
      </c>
      <c r="L30" s="18">
        <f t="shared" si="1"/>
        <v>8040192</v>
      </c>
      <c r="M30" s="18">
        <f t="shared" si="1"/>
        <v>8117018</v>
      </c>
      <c r="N30" s="18">
        <f t="shared" si="1"/>
        <v>8207645</v>
      </c>
      <c r="O30" s="18">
        <f t="shared" si="1"/>
        <v>8302265</v>
      </c>
      <c r="P30" s="18">
        <f t="shared" si="1"/>
        <v>8343482</v>
      </c>
      <c r="Q30" s="18">
        <f t="shared" si="1"/>
        <v>8393761</v>
      </c>
      <c r="R30" s="44"/>
      <c r="S30" s="44"/>
      <c r="T30" s="44">
        <f>T27+T28</f>
        <v>33206.805861054447</v>
      </c>
      <c r="U30" s="44" t="s">
        <v>139</v>
      </c>
    </row>
    <row r="31" spans="1:21" ht="17" thickBot="1" x14ac:dyDescent="0.25">
      <c r="A31" s="8"/>
      <c r="B31" s="10"/>
      <c r="C31" s="11" t="s">
        <v>133</v>
      </c>
      <c r="D31" s="26">
        <v>190528</v>
      </c>
      <c r="E31" s="23">
        <v>159620</v>
      </c>
      <c r="F31" s="23">
        <v>266800</v>
      </c>
      <c r="G31" s="23">
        <v>203355</v>
      </c>
      <c r="H31" s="23">
        <v>196686</v>
      </c>
      <c r="I31" s="23">
        <v>179104</v>
      </c>
      <c r="J31" s="23">
        <v>248960</v>
      </c>
      <c r="K31" s="23">
        <v>209263</v>
      </c>
      <c r="L31" s="23">
        <v>253398</v>
      </c>
      <c r="M31" s="23">
        <v>215843</v>
      </c>
      <c r="N31" s="23">
        <v>219807</v>
      </c>
      <c r="O31" s="23">
        <v>232719</v>
      </c>
      <c r="P31" s="23">
        <v>154924</v>
      </c>
      <c r="Q31" s="23">
        <v>102846</v>
      </c>
      <c r="R31" s="44"/>
      <c r="S31" s="44"/>
      <c r="T31" s="44"/>
      <c r="U31" s="44"/>
    </row>
    <row r="32" spans="1:21" x14ac:dyDescent="0.2">
      <c r="A32" s="8"/>
      <c r="B32" s="41"/>
      <c r="C32" s="22" t="s">
        <v>45</v>
      </c>
      <c r="D32" s="42"/>
      <c r="E32" s="42">
        <f>D30+E31-E30</f>
        <v>123166</v>
      </c>
      <c r="F32" s="42">
        <f t="shared" ref="F32:Q32" si="2">E30+F31-F30</f>
        <v>143179</v>
      </c>
      <c r="G32" s="42">
        <f t="shared" si="2"/>
        <v>123125</v>
      </c>
      <c r="H32" s="42">
        <f t="shared" si="2"/>
        <v>112345</v>
      </c>
      <c r="I32" s="42">
        <f t="shared" si="2"/>
        <v>122101</v>
      </c>
      <c r="J32" s="42">
        <f t="shared" si="2"/>
        <v>133897</v>
      </c>
      <c r="K32" s="42">
        <f t="shared" si="2"/>
        <v>126512</v>
      </c>
      <c r="L32" s="42">
        <f t="shared" si="2"/>
        <v>145962</v>
      </c>
      <c r="M32" s="42">
        <f t="shared" si="2"/>
        <v>139017</v>
      </c>
      <c r="N32" s="42">
        <f t="shared" si="2"/>
        <v>129180</v>
      </c>
      <c r="O32" s="42">
        <f t="shared" si="2"/>
        <v>138099</v>
      </c>
      <c r="P32" s="42">
        <f t="shared" si="2"/>
        <v>113707</v>
      </c>
      <c r="Q32" s="42">
        <f t="shared" si="2"/>
        <v>52567</v>
      </c>
      <c r="R32" s="44"/>
      <c r="S32" s="44"/>
      <c r="T32" s="44"/>
      <c r="U32" s="44"/>
    </row>
    <row r="33" spans="1:17" ht="40" thickBot="1" x14ac:dyDescent="0.25">
      <c r="A33" s="8"/>
      <c r="B33" s="8"/>
      <c r="C33" s="11" t="s">
        <v>134</v>
      </c>
      <c r="D33" s="20"/>
      <c r="E33" s="45">
        <v>321.24080700000002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 ht="40" thickBot="1" x14ac:dyDescent="0.25">
      <c r="A34" s="8"/>
      <c r="B34" s="10"/>
      <c r="C34" s="11" t="s">
        <v>135</v>
      </c>
      <c r="E34" s="18">
        <f>T30</f>
        <v>33206.805861054447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7" ht="40" thickBot="1" x14ac:dyDescent="0.25">
      <c r="A35" s="8"/>
      <c r="B35" s="10"/>
      <c r="C35" s="11" t="s">
        <v>136</v>
      </c>
      <c r="D35" s="18"/>
      <c r="E35" s="43">
        <f>E32-E33-E34</f>
        <v>89637.953331945551</v>
      </c>
      <c r="F35" s="43">
        <f>F32-E33-E34</f>
        <v>109650.95333194555</v>
      </c>
      <c r="G35" s="43">
        <f>G32-E33-E34</f>
        <v>89596.953331945551</v>
      </c>
      <c r="H35" s="43">
        <f>H32-E33-E34</f>
        <v>78816.953331945551</v>
      </c>
      <c r="I35" s="43">
        <f>I32-E33-E34</f>
        <v>88572.953331945551</v>
      </c>
      <c r="J35" s="43">
        <f>J32-E33-E34</f>
        <v>100368.95333194555</v>
      </c>
      <c r="K35" s="43">
        <f>K32-E33-E34</f>
        <v>92983.953331945551</v>
      </c>
      <c r="L35" s="43">
        <f>L32-E33-E34</f>
        <v>112433.95333194555</v>
      </c>
      <c r="M35" s="43">
        <f>M32-E33-E34</f>
        <v>105488.95333194555</v>
      </c>
      <c r="N35" s="43">
        <f>N32-E33-E34</f>
        <v>95651.953331945551</v>
      </c>
      <c r="O35" s="43">
        <f>O32-E33-E34</f>
        <v>104570.95333194555</v>
      </c>
      <c r="P35" s="43">
        <f>P32-E33-E34</f>
        <v>80178.953331945551</v>
      </c>
    </row>
    <row r="36" spans="1:17" ht="17" thickBot="1" x14ac:dyDescent="0.25">
      <c r="A36" s="8"/>
      <c r="B36" s="10"/>
      <c r="C36" s="11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7" ht="17" thickBot="1" x14ac:dyDescent="0.25">
      <c r="A37" s="8"/>
      <c r="B37" s="10"/>
      <c r="C37" s="11" t="s">
        <v>140</v>
      </c>
      <c r="D37" s="46" t="s">
        <v>141</v>
      </c>
      <c r="E37" s="47">
        <f>E35+F35+G35</f>
        <v>288885.85999583662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7" x14ac:dyDescent="0.2">
      <c r="D38" s="48" t="s">
        <v>142</v>
      </c>
      <c r="E38" s="49">
        <f>H35+I35+J35</f>
        <v>267758.85999583662</v>
      </c>
      <c r="F38" s="44"/>
    </row>
    <row r="39" spans="1:17" x14ac:dyDescent="0.2">
      <c r="D39" s="48" t="s">
        <v>143</v>
      </c>
      <c r="E39" s="49">
        <f>K35+L35+M35</f>
        <v>310906.85999583662</v>
      </c>
      <c r="F39" s="44"/>
    </row>
    <row r="40" spans="1:17" x14ac:dyDescent="0.2">
      <c r="D40" s="48" t="s">
        <v>144</v>
      </c>
      <c r="E40" s="49">
        <f>N35+O35+P35</f>
        <v>280401.85999583662</v>
      </c>
      <c r="F40" s="44"/>
    </row>
  </sheetData>
  <mergeCells count="16">
    <mergeCell ref="B21:B22"/>
    <mergeCell ref="B23:B24"/>
    <mergeCell ref="B25:B26"/>
    <mergeCell ref="B27:B28"/>
    <mergeCell ref="B3:B4"/>
    <mergeCell ref="B5:B6"/>
    <mergeCell ref="B7:B8"/>
    <mergeCell ref="B9:B10"/>
    <mergeCell ref="B11:B12"/>
    <mergeCell ref="B13:B14"/>
    <mergeCell ref="B29:B32"/>
    <mergeCell ref="B34:B37"/>
    <mergeCell ref="A1:C1"/>
    <mergeCell ref="B15:B16"/>
    <mergeCell ref="B17:B18"/>
    <mergeCell ref="B19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0E40-C4CD-CB4B-88C2-07A4CFB1A2E5}">
  <dimension ref="A1:T57"/>
  <sheetViews>
    <sheetView tabSelected="1" topLeftCell="I37" workbookViewId="0">
      <selection activeCell="R42" sqref="R42:S53"/>
    </sheetView>
  </sheetViews>
  <sheetFormatPr baseColWidth="10" defaultRowHeight="16" x14ac:dyDescent="0.2"/>
  <sheetData>
    <row r="1" spans="1:17" ht="26" x14ac:dyDescent="0.2">
      <c r="A1" s="5" t="s">
        <v>28</v>
      </c>
      <c r="B1" s="6"/>
      <c r="C1" s="27">
        <v>45627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  <c r="J1" s="7" t="s">
        <v>35</v>
      </c>
      <c r="K1" s="7" t="s">
        <v>36</v>
      </c>
      <c r="L1" s="7" t="s">
        <v>37</v>
      </c>
      <c r="M1" s="7" t="s">
        <v>38</v>
      </c>
      <c r="N1" s="7" t="s">
        <v>39</v>
      </c>
      <c r="O1" s="7" t="s">
        <v>40</v>
      </c>
      <c r="P1" s="7" t="s">
        <v>41</v>
      </c>
      <c r="Q1" s="7" t="s">
        <v>5</v>
      </c>
    </row>
    <row r="2" spans="1:17" ht="27" thickBot="1" x14ac:dyDescent="0.25">
      <c r="A2" s="8"/>
      <c r="B2" s="9" t="s">
        <v>42</v>
      </c>
      <c r="C2" s="1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7" ht="27" thickBot="1" x14ac:dyDescent="0.25">
      <c r="A3" s="8"/>
      <c r="B3" s="11" t="s">
        <v>9</v>
      </c>
      <c r="C3" s="25">
        <v>4639662</v>
      </c>
      <c r="D3" s="18">
        <v>4730353</v>
      </c>
      <c r="E3" s="18">
        <v>4869313</v>
      </c>
      <c r="F3" s="18">
        <v>4924624</v>
      </c>
      <c r="G3" s="18">
        <v>5008017</v>
      </c>
      <c r="H3" s="18">
        <v>5077798</v>
      </c>
      <c r="I3" s="18">
        <v>5177927</v>
      </c>
      <c r="J3" s="18">
        <v>5261977</v>
      </c>
      <c r="K3" s="18">
        <v>5393526</v>
      </c>
      <c r="L3" s="18">
        <v>5476788</v>
      </c>
      <c r="M3" s="18">
        <v>5550590</v>
      </c>
      <c r="N3" s="18">
        <v>5619193</v>
      </c>
      <c r="O3" s="18">
        <v>5675966</v>
      </c>
      <c r="P3" s="18" t="s">
        <v>6</v>
      </c>
    </row>
    <row r="4" spans="1:17" ht="27" thickBot="1" x14ac:dyDescent="0.25">
      <c r="A4" s="8"/>
      <c r="B4" s="11" t="s">
        <v>10</v>
      </c>
      <c r="C4" s="25">
        <v>2715818</v>
      </c>
      <c r="D4" s="18">
        <v>2661407</v>
      </c>
      <c r="E4" s="18">
        <v>2645768</v>
      </c>
      <c r="F4" s="18">
        <v>2670477</v>
      </c>
      <c r="G4" s="18">
        <v>2671436</v>
      </c>
      <c r="H4" s="18">
        <v>2658694</v>
      </c>
      <c r="I4" s="18">
        <v>2673559</v>
      </c>
      <c r="J4" s="18">
        <v>2671942</v>
      </c>
      <c r="K4" s="18">
        <v>2647601</v>
      </c>
      <c r="L4" s="18">
        <v>2640847</v>
      </c>
      <c r="M4" s="18">
        <v>2657223</v>
      </c>
      <c r="N4" s="18">
        <v>2683584</v>
      </c>
      <c r="O4" s="18">
        <v>2667690</v>
      </c>
      <c r="P4" s="18" t="s">
        <v>6</v>
      </c>
    </row>
    <row r="5" spans="1:17" ht="17" thickBot="1" x14ac:dyDescent="0.25">
      <c r="A5" s="8"/>
      <c r="B5" s="11" t="s">
        <v>11</v>
      </c>
      <c r="C5" s="11"/>
      <c r="D5" s="18" t="s">
        <v>6</v>
      </c>
      <c r="E5" s="18" t="s">
        <v>6</v>
      </c>
      <c r="F5" s="18" t="s">
        <v>6</v>
      </c>
      <c r="G5" s="18" t="s">
        <v>6</v>
      </c>
      <c r="H5" s="18" t="s">
        <v>6</v>
      </c>
      <c r="I5" s="18" t="s">
        <v>6</v>
      </c>
      <c r="J5" s="18" t="s">
        <v>6</v>
      </c>
      <c r="K5" s="18" t="s">
        <v>6</v>
      </c>
      <c r="L5" s="18" t="s">
        <v>6</v>
      </c>
      <c r="M5" s="18" t="s">
        <v>6</v>
      </c>
      <c r="N5" s="18" t="s">
        <v>6</v>
      </c>
      <c r="O5" s="18" t="s">
        <v>6</v>
      </c>
      <c r="P5" s="18">
        <v>8393940</v>
      </c>
    </row>
    <row r="6" spans="1:17" ht="17" thickBot="1" x14ac:dyDescent="0.25">
      <c r="A6" s="8"/>
      <c r="B6" s="11" t="s">
        <v>5</v>
      </c>
      <c r="C6" s="25">
        <v>7355479</v>
      </c>
      <c r="D6" s="18">
        <v>7391758</v>
      </c>
      <c r="E6" s="18">
        <v>7515081</v>
      </c>
      <c r="F6" s="18">
        <v>7595104</v>
      </c>
      <c r="G6" s="18">
        <v>7679452</v>
      </c>
      <c r="H6" s="18">
        <v>7736489</v>
      </c>
      <c r="I6" s="18">
        <v>7851487</v>
      </c>
      <c r="J6" s="18">
        <v>7933923</v>
      </c>
      <c r="K6" s="18">
        <v>8041126</v>
      </c>
      <c r="L6" s="18">
        <v>8117635</v>
      </c>
      <c r="M6" s="18">
        <v>8207815</v>
      </c>
      <c r="N6" s="18">
        <v>8302781</v>
      </c>
      <c r="O6" s="18">
        <v>8343654</v>
      </c>
      <c r="P6" s="18">
        <v>8393940</v>
      </c>
    </row>
    <row r="7" spans="1:17" ht="40" thickBot="1" x14ac:dyDescent="0.25">
      <c r="A7" s="11" t="s">
        <v>43</v>
      </c>
      <c r="C7" s="26">
        <v>190528</v>
      </c>
      <c r="D7" s="23">
        <v>159620</v>
      </c>
      <c r="E7" s="23">
        <v>266800</v>
      </c>
      <c r="F7" s="23">
        <v>203355</v>
      </c>
      <c r="G7" s="23">
        <v>196686</v>
      </c>
      <c r="H7" s="23">
        <v>179104</v>
      </c>
      <c r="I7" s="23">
        <v>248960</v>
      </c>
      <c r="J7" s="23">
        <v>209263</v>
      </c>
      <c r="K7" s="23">
        <v>253398</v>
      </c>
      <c r="L7" s="23">
        <v>215843</v>
      </c>
      <c r="M7" s="23">
        <v>219807</v>
      </c>
      <c r="N7" s="23">
        <v>232719</v>
      </c>
      <c r="O7" s="23">
        <v>154924</v>
      </c>
      <c r="P7" s="23">
        <v>102846</v>
      </c>
      <c r="Q7" s="23">
        <v>2643331</v>
      </c>
    </row>
    <row r="8" spans="1:17" ht="26" x14ac:dyDescent="0.2">
      <c r="B8" s="11" t="s">
        <v>44</v>
      </c>
      <c r="C8" s="24">
        <f>C6-C7</f>
        <v>7164951</v>
      </c>
      <c r="D8">
        <f>D6-D7</f>
        <v>7232138</v>
      </c>
      <c r="E8">
        <f t="shared" ref="E8:P8" si="0">E6-E7</f>
        <v>7248281</v>
      </c>
      <c r="F8">
        <f t="shared" si="0"/>
        <v>7391749</v>
      </c>
      <c r="G8">
        <f t="shared" si="0"/>
        <v>7482766</v>
      </c>
      <c r="H8">
        <f t="shared" si="0"/>
        <v>7557385</v>
      </c>
      <c r="I8">
        <f t="shared" si="0"/>
        <v>7602527</v>
      </c>
      <c r="J8">
        <f t="shared" si="0"/>
        <v>7724660</v>
      </c>
      <c r="K8">
        <f t="shared" si="0"/>
        <v>7787728</v>
      </c>
      <c r="L8">
        <f t="shared" si="0"/>
        <v>7901792</v>
      </c>
      <c r="M8">
        <f t="shared" si="0"/>
        <v>7988008</v>
      </c>
      <c r="N8">
        <f t="shared" si="0"/>
        <v>8070062</v>
      </c>
      <c r="O8">
        <f t="shared" si="0"/>
        <v>8188730</v>
      </c>
      <c r="P8">
        <f t="shared" si="0"/>
        <v>8291094</v>
      </c>
    </row>
    <row r="9" spans="1:17" x14ac:dyDescent="0.2">
      <c r="B9" s="11" t="s">
        <v>45</v>
      </c>
      <c r="D9" s="24">
        <f>C6+D7-D6</f>
        <v>123341</v>
      </c>
      <c r="E9">
        <f>D6+E7-E6</f>
        <v>143477</v>
      </c>
      <c r="F9">
        <f>E6+F7-F6</f>
        <v>123332</v>
      </c>
      <c r="G9">
        <f>F6+G7-G6</f>
        <v>112338</v>
      </c>
      <c r="H9">
        <f>G6+H7-H6</f>
        <v>122067</v>
      </c>
      <c r="I9">
        <f>H6+I7-I6</f>
        <v>133962</v>
      </c>
      <c r="J9">
        <f t="shared" ref="J9:P9" si="1">I6+J7-J6</f>
        <v>126827</v>
      </c>
      <c r="K9">
        <f t="shared" si="1"/>
        <v>146195</v>
      </c>
      <c r="L9">
        <f t="shared" si="1"/>
        <v>139334</v>
      </c>
      <c r="M9">
        <f t="shared" si="1"/>
        <v>129627</v>
      </c>
      <c r="N9">
        <f t="shared" si="1"/>
        <v>137753</v>
      </c>
      <c r="O9">
        <f>N6+O7-O6</f>
        <v>114051</v>
      </c>
      <c r="P9">
        <f t="shared" si="1"/>
        <v>52560</v>
      </c>
    </row>
    <row r="10" spans="1:17" ht="26" x14ac:dyDescent="0.2">
      <c r="B10" s="11" t="s">
        <v>46</v>
      </c>
    </row>
    <row r="11" spans="1:17" x14ac:dyDescent="0.2">
      <c r="B11" s="11" t="s">
        <v>47</v>
      </c>
    </row>
    <row r="12" spans="1:17" ht="17" thickBot="1" x14ac:dyDescent="0.25">
      <c r="B12" s="11" t="s">
        <v>127</v>
      </c>
      <c r="C12" s="24">
        <f>C6-C13-C14</f>
        <v>7218783</v>
      </c>
      <c r="D12" s="24">
        <f t="shared" ref="D12:P12" si="2">D6-D13-D14</f>
        <v>7250833</v>
      </c>
      <c r="E12" s="24">
        <f t="shared" si="2"/>
        <v>7370621</v>
      </c>
      <c r="F12" s="24">
        <f t="shared" si="2"/>
        <v>7448641</v>
      </c>
      <c r="G12" s="24">
        <f t="shared" si="2"/>
        <v>7530236</v>
      </c>
      <c r="H12" s="24">
        <f t="shared" si="2"/>
        <v>7585452</v>
      </c>
      <c r="I12" s="24">
        <f t="shared" si="2"/>
        <v>7697243</v>
      </c>
      <c r="J12" s="24">
        <f t="shared" si="2"/>
        <v>7777075</v>
      </c>
      <c r="K12" s="24">
        <f t="shared" si="2"/>
        <v>7879300</v>
      </c>
      <c r="L12" s="24">
        <f t="shared" si="2"/>
        <v>7950786</v>
      </c>
      <c r="M12" s="24">
        <f t="shared" si="2"/>
        <v>8032639</v>
      </c>
      <c r="N12" s="24">
        <f t="shared" si="2"/>
        <v>8121767</v>
      </c>
      <c r="O12" s="24">
        <f t="shared" si="2"/>
        <v>8159214</v>
      </c>
      <c r="P12" s="24">
        <f t="shared" si="2"/>
        <v>8204254</v>
      </c>
    </row>
    <row r="13" spans="1:17" ht="17" thickBot="1" x14ac:dyDescent="0.25">
      <c r="B13" s="11" t="s">
        <v>48</v>
      </c>
      <c r="C13" s="28">
        <v>128440</v>
      </c>
      <c r="D13" s="29">
        <v>131703</v>
      </c>
      <c r="E13" s="29">
        <v>134461</v>
      </c>
      <c r="F13" s="29">
        <v>136101</v>
      </c>
      <c r="G13" s="29">
        <v>138377</v>
      </c>
      <c r="H13" s="29">
        <v>139838</v>
      </c>
      <c r="I13" s="29">
        <v>142579</v>
      </c>
      <c r="J13" s="29">
        <v>144794</v>
      </c>
      <c r="K13" s="29">
        <v>149293</v>
      </c>
      <c r="L13" s="29">
        <v>154071</v>
      </c>
      <c r="M13" s="29">
        <v>162036</v>
      </c>
      <c r="N13" s="29">
        <v>167642</v>
      </c>
      <c r="O13" s="29">
        <v>171358</v>
      </c>
      <c r="P13" s="29">
        <v>176325</v>
      </c>
    </row>
    <row r="14" spans="1:17" ht="17" thickBot="1" x14ac:dyDescent="0.25">
      <c r="B14" s="11" t="s">
        <v>49</v>
      </c>
      <c r="C14" s="30">
        <v>8256</v>
      </c>
      <c r="D14" s="31">
        <v>9222</v>
      </c>
      <c r="E14" s="31">
        <v>9999</v>
      </c>
      <c r="F14" s="31">
        <v>10362</v>
      </c>
      <c r="G14" s="31">
        <v>10839</v>
      </c>
      <c r="H14" s="31">
        <v>11199</v>
      </c>
      <c r="I14" s="31">
        <v>11665</v>
      </c>
      <c r="J14" s="31">
        <v>12054</v>
      </c>
      <c r="K14" s="31">
        <v>12533</v>
      </c>
      <c r="L14" s="31">
        <v>12778</v>
      </c>
      <c r="M14" s="31">
        <v>13140</v>
      </c>
      <c r="N14" s="31">
        <v>13372</v>
      </c>
      <c r="O14" s="31">
        <v>13082</v>
      </c>
      <c r="P14" s="31">
        <v>13361</v>
      </c>
    </row>
    <row r="17" spans="1:16" ht="40" thickBot="1" x14ac:dyDescent="0.25">
      <c r="A17" s="32" t="s">
        <v>88</v>
      </c>
      <c r="B17" s="9" t="s">
        <v>50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17" thickBot="1" x14ac:dyDescent="0.25">
      <c r="B18" s="11" t="s">
        <v>51</v>
      </c>
      <c r="C18" s="23">
        <v>102967</v>
      </c>
      <c r="D18" s="23">
        <v>104384</v>
      </c>
      <c r="E18" s="23">
        <v>106145</v>
      </c>
      <c r="F18" s="23">
        <v>109083</v>
      </c>
      <c r="G18" s="23">
        <v>114750</v>
      </c>
      <c r="H18" s="23">
        <v>119607</v>
      </c>
      <c r="I18" s="23">
        <v>131103</v>
      </c>
      <c r="J18" s="23">
        <v>134330</v>
      </c>
      <c r="K18" s="23">
        <v>137118</v>
      </c>
      <c r="L18" s="23">
        <v>139067</v>
      </c>
      <c r="M18" s="23">
        <v>141892</v>
      </c>
      <c r="N18" s="23">
        <v>144230</v>
      </c>
      <c r="O18" s="23">
        <v>145609</v>
      </c>
      <c r="P18" s="23">
        <v>146301</v>
      </c>
    </row>
    <row r="19" spans="1:16" ht="17" thickBot="1" x14ac:dyDescent="0.25">
      <c r="B19" s="11" t="s">
        <v>52</v>
      </c>
      <c r="C19" s="23">
        <v>98010</v>
      </c>
      <c r="D19" s="23">
        <v>99108</v>
      </c>
      <c r="E19" s="23">
        <v>101154</v>
      </c>
      <c r="F19" s="23">
        <v>106165</v>
      </c>
      <c r="G19" s="23">
        <v>111624</v>
      </c>
      <c r="H19" s="23">
        <v>118041</v>
      </c>
      <c r="I19" s="23">
        <v>128337</v>
      </c>
      <c r="J19" s="23">
        <v>131896</v>
      </c>
      <c r="K19" s="23">
        <v>134518</v>
      </c>
      <c r="L19" s="23">
        <v>136767</v>
      </c>
      <c r="M19" s="23">
        <v>139317</v>
      </c>
      <c r="N19" s="23">
        <v>142134</v>
      </c>
      <c r="O19" s="23">
        <v>143979</v>
      </c>
      <c r="P19" s="23">
        <v>145425</v>
      </c>
    </row>
    <row r="20" spans="1:16" ht="17" thickBot="1" x14ac:dyDescent="0.25">
      <c r="B20" s="11" t="s">
        <v>53</v>
      </c>
      <c r="C20" s="23">
        <v>95328</v>
      </c>
      <c r="D20" s="23">
        <v>96270</v>
      </c>
      <c r="E20" s="23">
        <v>98017</v>
      </c>
      <c r="F20" s="23">
        <v>101411</v>
      </c>
      <c r="G20" s="23">
        <v>105607</v>
      </c>
      <c r="H20" s="23">
        <v>111393</v>
      </c>
      <c r="I20" s="23">
        <v>119943</v>
      </c>
      <c r="J20" s="23">
        <v>123942</v>
      </c>
      <c r="K20" s="23">
        <v>128789</v>
      </c>
      <c r="L20" s="23">
        <v>131591</v>
      </c>
      <c r="M20" s="23">
        <v>134104</v>
      </c>
      <c r="N20" s="23">
        <v>136739</v>
      </c>
      <c r="O20" s="23">
        <v>137787</v>
      </c>
      <c r="P20" s="23">
        <v>138719</v>
      </c>
    </row>
    <row r="21" spans="1:16" ht="17" thickBot="1" x14ac:dyDescent="0.25">
      <c r="B21" s="11" t="s">
        <v>54</v>
      </c>
      <c r="C21" s="23">
        <v>89601</v>
      </c>
      <c r="D21" s="23">
        <v>90745</v>
      </c>
      <c r="E21" s="23">
        <v>92939</v>
      </c>
      <c r="F21" s="23">
        <v>94509</v>
      </c>
      <c r="G21" s="23">
        <v>96003</v>
      </c>
      <c r="H21" s="23">
        <v>97395</v>
      </c>
      <c r="I21" s="23">
        <v>99534</v>
      </c>
      <c r="J21" s="23">
        <v>101131</v>
      </c>
      <c r="K21" s="23">
        <v>105737</v>
      </c>
      <c r="L21" s="23">
        <v>111315</v>
      </c>
      <c r="M21" s="23">
        <v>120576</v>
      </c>
      <c r="N21" s="23">
        <v>130539</v>
      </c>
      <c r="O21" s="23">
        <v>134375</v>
      </c>
      <c r="P21" s="23">
        <v>135539</v>
      </c>
    </row>
    <row r="22" spans="1:16" ht="17" thickBot="1" x14ac:dyDescent="0.25">
      <c r="B22" s="11" t="s">
        <v>55</v>
      </c>
      <c r="C22" s="23">
        <v>88383</v>
      </c>
      <c r="D22" s="23">
        <v>89060</v>
      </c>
      <c r="E22" s="23">
        <v>90635</v>
      </c>
      <c r="F22" s="23">
        <v>91183</v>
      </c>
      <c r="G22" s="23">
        <v>92221</v>
      </c>
      <c r="H22" s="23">
        <v>93023</v>
      </c>
      <c r="I22" s="23">
        <v>94191</v>
      </c>
      <c r="J22" s="23">
        <v>95065</v>
      </c>
      <c r="K22" s="23">
        <v>101552</v>
      </c>
      <c r="L22" s="23">
        <v>106891</v>
      </c>
      <c r="M22" s="23">
        <v>116958</v>
      </c>
      <c r="N22" s="23">
        <v>124568</v>
      </c>
      <c r="O22" s="23">
        <v>127050</v>
      </c>
      <c r="P22" s="23">
        <v>128766</v>
      </c>
    </row>
    <row r="23" spans="1:16" ht="17" thickBot="1" x14ac:dyDescent="0.25">
      <c r="B23" s="11" t="s">
        <v>56</v>
      </c>
      <c r="C23" s="23">
        <v>79280</v>
      </c>
      <c r="D23" s="23">
        <v>80593</v>
      </c>
      <c r="E23" s="23">
        <v>82713</v>
      </c>
      <c r="F23" s="23">
        <v>84434</v>
      </c>
      <c r="G23" s="23">
        <v>85816</v>
      </c>
      <c r="H23" s="23">
        <v>87033</v>
      </c>
      <c r="I23" s="23">
        <v>88973</v>
      </c>
      <c r="J23" s="23">
        <v>91025</v>
      </c>
      <c r="K23" s="23">
        <v>95582</v>
      </c>
      <c r="L23" s="23">
        <v>100256</v>
      </c>
      <c r="M23" s="23">
        <v>107352</v>
      </c>
      <c r="N23" s="23">
        <v>113000</v>
      </c>
      <c r="O23" s="23">
        <v>116735</v>
      </c>
      <c r="P23" s="23">
        <v>119660</v>
      </c>
    </row>
    <row r="24" spans="1:16" ht="17" thickBot="1" x14ac:dyDescent="0.25">
      <c r="B24" s="11" t="s">
        <v>57</v>
      </c>
      <c r="C24" s="23">
        <v>18437</v>
      </c>
      <c r="D24" s="23">
        <v>18674</v>
      </c>
      <c r="E24" s="23">
        <v>18130</v>
      </c>
      <c r="F24" s="23">
        <v>17711</v>
      </c>
      <c r="G24" s="23">
        <v>18120</v>
      </c>
      <c r="H24" s="23">
        <v>17973</v>
      </c>
      <c r="I24" s="23">
        <v>18071</v>
      </c>
      <c r="J24" s="23">
        <v>18172</v>
      </c>
      <c r="K24" s="23">
        <v>18541</v>
      </c>
      <c r="L24" s="23">
        <v>18752</v>
      </c>
      <c r="M24" s="23">
        <v>19337</v>
      </c>
      <c r="N24" s="23">
        <v>19181</v>
      </c>
      <c r="O24" s="23">
        <v>19310</v>
      </c>
      <c r="P24" s="23">
        <v>21097</v>
      </c>
    </row>
    <row r="25" spans="1:16" ht="17" thickBot="1" x14ac:dyDescent="0.25">
      <c r="B25" s="11" t="s">
        <v>58</v>
      </c>
      <c r="C25" s="23">
        <v>11912</v>
      </c>
      <c r="D25" s="23">
        <v>12631</v>
      </c>
      <c r="E25" s="23">
        <v>13041</v>
      </c>
      <c r="F25" s="23">
        <v>13136</v>
      </c>
      <c r="G25" s="23">
        <v>13219</v>
      </c>
      <c r="H25" s="23">
        <v>13192</v>
      </c>
      <c r="I25" s="23">
        <v>13301</v>
      </c>
      <c r="J25" s="23">
        <v>13063</v>
      </c>
      <c r="K25" s="23">
        <v>12579</v>
      </c>
      <c r="L25" s="23">
        <v>12332</v>
      </c>
      <c r="M25" s="23">
        <v>12277</v>
      </c>
      <c r="N25" s="23">
        <v>12348</v>
      </c>
      <c r="O25" s="23">
        <v>12324</v>
      </c>
      <c r="P25" s="23">
        <v>12317</v>
      </c>
    </row>
    <row r="26" spans="1:16" ht="17" thickBot="1" x14ac:dyDescent="0.25">
      <c r="B26" s="11" t="s">
        <v>59</v>
      </c>
      <c r="C26" s="23">
        <v>8163</v>
      </c>
      <c r="D26" s="23">
        <v>8552</v>
      </c>
      <c r="E26" s="23">
        <v>8879</v>
      </c>
      <c r="F26" s="23">
        <v>8968</v>
      </c>
      <c r="G26" s="23">
        <v>9155</v>
      </c>
      <c r="H26" s="23">
        <v>9323</v>
      </c>
      <c r="I26" s="23">
        <v>9580</v>
      </c>
      <c r="J26" s="23">
        <v>9652</v>
      </c>
      <c r="K26" s="23">
        <v>9619</v>
      </c>
      <c r="L26" s="23">
        <v>9647</v>
      </c>
      <c r="M26" s="23">
        <v>9758</v>
      </c>
      <c r="N26" s="23">
        <v>9746</v>
      </c>
      <c r="O26" s="23">
        <v>9693</v>
      </c>
      <c r="P26" s="23">
        <v>9834</v>
      </c>
    </row>
    <row r="27" spans="1:16" ht="17" thickBot="1" x14ac:dyDescent="0.25">
      <c r="B27" s="11" t="s">
        <v>60</v>
      </c>
      <c r="C27" s="23">
        <v>6193</v>
      </c>
      <c r="D27" s="23">
        <v>6411</v>
      </c>
      <c r="E27" s="23">
        <v>6557</v>
      </c>
      <c r="F27" s="23">
        <v>6657</v>
      </c>
      <c r="G27" s="23">
        <v>6794</v>
      </c>
      <c r="H27" s="23">
        <v>6936</v>
      </c>
      <c r="I27" s="23">
        <v>7092</v>
      </c>
      <c r="J27" s="23">
        <v>7227</v>
      </c>
      <c r="K27" s="23">
        <v>7264</v>
      </c>
      <c r="L27" s="23">
        <v>7338</v>
      </c>
      <c r="M27" s="23">
        <v>7510</v>
      </c>
      <c r="N27" s="23">
        <v>7606</v>
      </c>
      <c r="O27" s="23">
        <v>7543</v>
      </c>
      <c r="P27" s="23">
        <v>7679</v>
      </c>
    </row>
    <row r="28" spans="1:16" ht="17" thickBot="1" x14ac:dyDescent="0.25">
      <c r="B28" s="11" t="s">
        <v>61</v>
      </c>
      <c r="C28" s="23">
        <v>4464</v>
      </c>
      <c r="D28" s="23">
        <v>4837</v>
      </c>
      <c r="E28" s="23">
        <v>5136</v>
      </c>
      <c r="F28" s="23">
        <v>5185</v>
      </c>
      <c r="G28" s="23">
        <v>5274</v>
      </c>
      <c r="H28" s="23">
        <v>5384</v>
      </c>
      <c r="I28" s="23">
        <v>5571</v>
      </c>
      <c r="J28" s="23">
        <v>5662</v>
      </c>
      <c r="K28" s="23">
        <v>5706</v>
      </c>
      <c r="L28" s="23">
        <v>5747</v>
      </c>
      <c r="M28" s="23">
        <v>5800</v>
      </c>
      <c r="N28" s="23">
        <v>5760</v>
      </c>
      <c r="O28" s="23">
        <v>5750</v>
      </c>
      <c r="P28" s="23">
        <v>5740</v>
      </c>
    </row>
    <row r="29" spans="1:16" ht="17" thickBot="1" x14ac:dyDescent="0.25">
      <c r="B29" s="11" t="s">
        <v>62</v>
      </c>
      <c r="C29" s="23">
        <v>8256</v>
      </c>
      <c r="D29" s="23">
        <v>9222</v>
      </c>
      <c r="E29" s="23">
        <v>9999</v>
      </c>
      <c r="F29" s="23">
        <v>10362</v>
      </c>
      <c r="G29" s="23">
        <v>10839</v>
      </c>
      <c r="H29" s="23">
        <v>11199</v>
      </c>
      <c r="I29" s="23">
        <v>11665</v>
      </c>
      <c r="J29" s="23">
        <v>12054</v>
      </c>
      <c r="K29" s="23">
        <v>12533</v>
      </c>
      <c r="L29" s="23">
        <v>12778</v>
      </c>
      <c r="M29" s="23">
        <v>13140</v>
      </c>
      <c r="N29" s="23">
        <v>13372</v>
      </c>
      <c r="O29" s="23">
        <v>13082</v>
      </c>
      <c r="P29" s="23">
        <v>13361</v>
      </c>
    </row>
    <row r="30" spans="1:16" ht="17" thickBot="1" x14ac:dyDescent="0.25">
      <c r="B30" s="11" t="s">
        <v>5</v>
      </c>
      <c r="C30" s="23">
        <v>610992</v>
      </c>
      <c r="D30" s="23">
        <v>620488</v>
      </c>
      <c r="E30" s="23">
        <v>633353</v>
      </c>
      <c r="F30" s="23">
        <v>648808</v>
      </c>
      <c r="G30" s="23">
        <v>669421</v>
      </c>
      <c r="H30" s="23">
        <v>690501</v>
      </c>
      <c r="I30" s="23">
        <v>727351</v>
      </c>
      <c r="J30" s="23">
        <v>743219</v>
      </c>
      <c r="K30" s="23">
        <v>769538</v>
      </c>
      <c r="L30" s="23">
        <v>792483</v>
      </c>
      <c r="M30" s="23">
        <v>828025</v>
      </c>
      <c r="N30" s="23">
        <v>859225</v>
      </c>
      <c r="O30" s="23">
        <v>873241</v>
      </c>
      <c r="P30" s="23">
        <v>884441</v>
      </c>
    </row>
    <row r="31" spans="1:16" x14ac:dyDescent="0.2">
      <c r="B31" s="11" t="s">
        <v>67</v>
      </c>
      <c r="D31">
        <f>D18-C18</f>
        <v>1417</v>
      </c>
      <c r="E31">
        <f t="shared" ref="E31:P31" si="3">E18-D18</f>
        <v>1761</v>
      </c>
      <c r="F31">
        <f t="shared" si="3"/>
        <v>2938</v>
      </c>
      <c r="G31">
        <f t="shared" si="3"/>
        <v>5667</v>
      </c>
      <c r="H31">
        <f t="shared" si="3"/>
        <v>4857</v>
      </c>
      <c r="I31">
        <f t="shared" si="3"/>
        <v>11496</v>
      </c>
      <c r="J31">
        <f t="shared" si="3"/>
        <v>3227</v>
      </c>
      <c r="K31">
        <f t="shared" si="3"/>
        <v>2788</v>
      </c>
      <c r="L31">
        <f t="shared" si="3"/>
        <v>1949</v>
      </c>
      <c r="M31">
        <f t="shared" si="3"/>
        <v>2825</v>
      </c>
      <c r="N31">
        <f t="shared" si="3"/>
        <v>2338</v>
      </c>
      <c r="O31">
        <f t="shared" si="3"/>
        <v>1379</v>
      </c>
      <c r="P31">
        <f t="shared" si="3"/>
        <v>692</v>
      </c>
    </row>
    <row r="32" spans="1:16" x14ac:dyDescent="0.2">
      <c r="B32" s="11" t="s">
        <v>68</v>
      </c>
      <c r="D32">
        <f>D19-C19</f>
        <v>1098</v>
      </c>
      <c r="E32">
        <f t="shared" ref="E32:P32" si="4">E19-D19</f>
        <v>2046</v>
      </c>
      <c r="F32">
        <f t="shared" si="4"/>
        <v>5011</v>
      </c>
      <c r="G32">
        <f t="shared" si="4"/>
        <v>5459</v>
      </c>
      <c r="H32">
        <f t="shared" si="4"/>
        <v>6417</v>
      </c>
      <c r="I32">
        <f t="shared" si="4"/>
        <v>10296</v>
      </c>
      <c r="J32">
        <f t="shared" si="4"/>
        <v>3559</v>
      </c>
      <c r="K32">
        <f t="shared" si="4"/>
        <v>2622</v>
      </c>
      <c r="L32">
        <f t="shared" si="4"/>
        <v>2249</v>
      </c>
      <c r="M32">
        <f t="shared" si="4"/>
        <v>2550</v>
      </c>
      <c r="N32">
        <f t="shared" si="4"/>
        <v>2817</v>
      </c>
      <c r="O32">
        <f t="shared" si="4"/>
        <v>1845</v>
      </c>
      <c r="P32">
        <f t="shared" si="4"/>
        <v>1446</v>
      </c>
    </row>
    <row r="33" spans="2:20" x14ac:dyDescent="0.2">
      <c r="B33" s="11" t="s">
        <v>69</v>
      </c>
      <c r="D33">
        <f t="shared" ref="D32:P33" si="5">D20-C20</f>
        <v>942</v>
      </c>
      <c r="E33">
        <f t="shared" si="5"/>
        <v>1747</v>
      </c>
      <c r="F33">
        <f t="shared" si="5"/>
        <v>3394</v>
      </c>
      <c r="G33">
        <f t="shared" si="5"/>
        <v>4196</v>
      </c>
      <c r="H33">
        <f t="shared" si="5"/>
        <v>5786</v>
      </c>
      <c r="I33">
        <f t="shared" si="5"/>
        <v>8550</v>
      </c>
      <c r="J33">
        <f t="shared" si="5"/>
        <v>3999</v>
      </c>
      <c r="K33">
        <f t="shared" si="5"/>
        <v>4847</v>
      </c>
      <c r="L33">
        <f t="shared" si="5"/>
        <v>2802</v>
      </c>
      <c r="M33">
        <f t="shared" si="5"/>
        <v>2513</v>
      </c>
      <c r="N33">
        <f t="shared" si="5"/>
        <v>2635</v>
      </c>
      <c r="O33">
        <f t="shared" si="5"/>
        <v>1048</v>
      </c>
      <c r="P33">
        <f t="shared" si="5"/>
        <v>932</v>
      </c>
    </row>
    <row r="34" spans="2:20" x14ac:dyDescent="0.2">
      <c r="B34" s="11" t="s">
        <v>63</v>
      </c>
      <c r="D34">
        <f>D21-C21</f>
        <v>1144</v>
      </c>
      <c r="E34">
        <f>E21-D21</f>
        <v>2194</v>
      </c>
      <c r="F34">
        <f>F21-E21</f>
        <v>1570</v>
      </c>
      <c r="G34">
        <f>G21-F21</f>
        <v>1494</v>
      </c>
      <c r="H34">
        <f>H21-G21</f>
        <v>1392</v>
      </c>
      <c r="I34">
        <f>I21-H21</f>
        <v>2139</v>
      </c>
      <c r="J34">
        <f>J21-I21</f>
        <v>1597</v>
      </c>
      <c r="K34">
        <f>K21-J21</f>
        <v>4606</v>
      </c>
      <c r="L34">
        <f>L21-K21</f>
        <v>5578</v>
      </c>
      <c r="M34">
        <f>M21-L21</f>
        <v>9261</v>
      </c>
      <c r="N34">
        <f>N21-M21</f>
        <v>9963</v>
      </c>
      <c r="O34">
        <f>O21-N21</f>
        <v>3836</v>
      </c>
      <c r="P34">
        <f>P21-O21</f>
        <v>1164</v>
      </c>
    </row>
    <row r="35" spans="2:20" x14ac:dyDescent="0.2">
      <c r="B35" s="11" t="s">
        <v>64</v>
      </c>
      <c r="D35">
        <f>D22-C22</f>
        <v>677</v>
      </c>
      <c r="E35">
        <f>E22-D22</f>
        <v>1575</v>
      </c>
      <c r="F35">
        <f>F22-E22</f>
        <v>548</v>
      </c>
      <c r="G35">
        <f>G22-F22</f>
        <v>1038</v>
      </c>
      <c r="H35">
        <f>H22-G22</f>
        <v>802</v>
      </c>
      <c r="I35">
        <f>I22-H22</f>
        <v>1168</v>
      </c>
      <c r="J35">
        <f>J22-I22</f>
        <v>874</v>
      </c>
      <c r="K35">
        <f>K22-J22</f>
        <v>6487</v>
      </c>
      <c r="L35">
        <f>L22-K22</f>
        <v>5339</v>
      </c>
      <c r="M35">
        <f>M22-L22</f>
        <v>10067</v>
      </c>
      <c r="N35">
        <f>N22-M22</f>
        <v>7610</v>
      </c>
      <c r="O35">
        <f>O22-N22</f>
        <v>2482</v>
      </c>
      <c r="P35">
        <f>P22-O22</f>
        <v>1716</v>
      </c>
    </row>
    <row r="36" spans="2:20" x14ac:dyDescent="0.2">
      <c r="B36" s="11" t="s">
        <v>65</v>
      </c>
      <c r="D36">
        <f>D23-C23</f>
        <v>1313</v>
      </c>
      <c r="E36">
        <f>E23-D23</f>
        <v>2120</v>
      </c>
      <c r="F36">
        <f>F23-E23</f>
        <v>1721</v>
      </c>
      <c r="G36">
        <f>G23-F23</f>
        <v>1382</v>
      </c>
      <c r="H36">
        <f>H23-G23</f>
        <v>1217</v>
      </c>
      <c r="I36">
        <f>I23-H23</f>
        <v>1940</v>
      </c>
      <c r="J36">
        <f>J23-I23</f>
        <v>2052</v>
      </c>
      <c r="K36">
        <f>K23-J23</f>
        <v>4557</v>
      </c>
      <c r="L36">
        <f>L23-K23</f>
        <v>4674</v>
      </c>
      <c r="M36">
        <f>M23-L23</f>
        <v>7096</v>
      </c>
      <c r="N36">
        <f>N23-M23</f>
        <v>5648</v>
      </c>
      <c r="O36">
        <f>O23-N23</f>
        <v>3735</v>
      </c>
      <c r="P36">
        <f>P23-O23</f>
        <v>2925</v>
      </c>
    </row>
    <row r="37" spans="2:20" x14ac:dyDescent="0.2">
      <c r="B37" s="11" t="s">
        <v>66</v>
      </c>
      <c r="D37">
        <f>D24-C24</f>
        <v>237</v>
      </c>
      <c r="E37">
        <f>E24-D24</f>
        <v>-544</v>
      </c>
      <c r="F37">
        <f>F24-E24</f>
        <v>-419</v>
      </c>
      <c r="G37">
        <f>G24-F24</f>
        <v>409</v>
      </c>
      <c r="H37">
        <f>H24-G24</f>
        <v>-147</v>
      </c>
      <c r="I37">
        <f>I24-H24</f>
        <v>98</v>
      </c>
      <c r="J37">
        <f>J24-I24</f>
        <v>101</v>
      </c>
      <c r="K37">
        <f>K24-J24</f>
        <v>369</v>
      </c>
      <c r="L37">
        <f>L24-K24</f>
        <v>211</v>
      </c>
      <c r="M37">
        <f>M24-L24</f>
        <v>585</v>
      </c>
      <c r="N37">
        <f>N24-M24</f>
        <v>-156</v>
      </c>
      <c r="O37">
        <f>O24-N24</f>
        <v>129</v>
      </c>
      <c r="P37">
        <f>P24-O24</f>
        <v>1787</v>
      </c>
    </row>
    <row r="38" spans="2:20" x14ac:dyDescent="0.2">
      <c r="B38" s="11" t="s">
        <v>70</v>
      </c>
      <c r="D38">
        <f t="shared" ref="D38:P41" si="6">D25-C25</f>
        <v>719</v>
      </c>
      <c r="E38">
        <f t="shared" si="6"/>
        <v>410</v>
      </c>
      <c r="F38">
        <f t="shared" si="6"/>
        <v>95</v>
      </c>
      <c r="G38">
        <f t="shared" si="6"/>
        <v>83</v>
      </c>
      <c r="H38">
        <f t="shared" si="6"/>
        <v>-27</v>
      </c>
      <c r="I38">
        <f t="shared" si="6"/>
        <v>109</v>
      </c>
      <c r="J38">
        <f t="shared" si="6"/>
        <v>-238</v>
      </c>
      <c r="K38">
        <f t="shared" si="6"/>
        <v>-484</v>
      </c>
      <c r="L38">
        <f t="shared" si="6"/>
        <v>-247</v>
      </c>
      <c r="M38">
        <f t="shared" si="6"/>
        <v>-55</v>
      </c>
      <c r="N38">
        <f t="shared" si="6"/>
        <v>71</v>
      </c>
      <c r="O38">
        <f t="shared" si="6"/>
        <v>-24</v>
      </c>
      <c r="P38">
        <f t="shared" si="6"/>
        <v>-7</v>
      </c>
    </row>
    <row r="39" spans="2:20" x14ac:dyDescent="0.2">
      <c r="B39" s="11" t="s">
        <v>71</v>
      </c>
      <c r="D39">
        <f>D26-C26</f>
        <v>389</v>
      </c>
      <c r="E39">
        <f t="shared" si="6"/>
        <v>327</v>
      </c>
      <c r="F39">
        <f t="shared" si="6"/>
        <v>89</v>
      </c>
      <c r="G39">
        <f t="shared" si="6"/>
        <v>187</v>
      </c>
      <c r="H39">
        <f t="shared" si="6"/>
        <v>168</v>
      </c>
      <c r="I39">
        <f t="shared" si="6"/>
        <v>257</v>
      </c>
      <c r="J39">
        <f t="shared" si="6"/>
        <v>72</v>
      </c>
      <c r="K39">
        <f t="shared" si="6"/>
        <v>-33</v>
      </c>
      <c r="L39">
        <f t="shared" si="6"/>
        <v>28</v>
      </c>
      <c r="M39">
        <f t="shared" si="6"/>
        <v>111</v>
      </c>
      <c r="N39">
        <f t="shared" si="6"/>
        <v>-12</v>
      </c>
      <c r="O39">
        <f t="shared" si="6"/>
        <v>-53</v>
      </c>
      <c r="P39">
        <f t="shared" si="6"/>
        <v>141</v>
      </c>
    </row>
    <row r="40" spans="2:20" x14ac:dyDescent="0.2">
      <c r="B40" s="11" t="s">
        <v>72</v>
      </c>
      <c r="D40">
        <f t="shared" si="6"/>
        <v>218</v>
      </c>
      <c r="E40">
        <f t="shared" si="6"/>
        <v>146</v>
      </c>
      <c r="F40">
        <f t="shared" si="6"/>
        <v>100</v>
      </c>
      <c r="G40">
        <f t="shared" si="6"/>
        <v>137</v>
      </c>
      <c r="H40">
        <f t="shared" si="6"/>
        <v>142</v>
      </c>
      <c r="I40">
        <f t="shared" si="6"/>
        <v>156</v>
      </c>
      <c r="J40">
        <f t="shared" si="6"/>
        <v>135</v>
      </c>
      <c r="K40">
        <f t="shared" si="6"/>
        <v>37</v>
      </c>
      <c r="L40">
        <f t="shared" si="6"/>
        <v>74</v>
      </c>
      <c r="M40">
        <f t="shared" si="6"/>
        <v>172</v>
      </c>
      <c r="N40">
        <f t="shared" si="6"/>
        <v>96</v>
      </c>
      <c r="O40">
        <f t="shared" si="6"/>
        <v>-63</v>
      </c>
      <c r="P40">
        <f t="shared" si="6"/>
        <v>136</v>
      </c>
    </row>
    <row r="41" spans="2:20" ht="19" x14ac:dyDescent="0.2">
      <c r="B41" s="11" t="s">
        <v>73</v>
      </c>
      <c r="D41">
        <f t="shared" si="6"/>
        <v>373</v>
      </c>
      <c r="E41">
        <f t="shared" si="6"/>
        <v>299</v>
      </c>
      <c r="F41">
        <f t="shared" si="6"/>
        <v>49</v>
      </c>
      <c r="G41">
        <f t="shared" si="6"/>
        <v>89</v>
      </c>
      <c r="H41">
        <f t="shared" si="6"/>
        <v>110</v>
      </c>
      <c r="I41">
        <f t="shared" si="6"/>
        <v>187</v>
      </c>
      <c r="J41">
        <f t="shared" si="6"/>
        <v>91</v>
      </c>
      <c r="K41">
        <f t="shared" si="6"/>
        <v>44</v>
      </c>
      <c r="L41">
        <f t="shared" si="6"/>
        <v>41</v>
      </c>
      <c r="M41">
        <f t="shared" si="6"/>
        <v>53</v>
      </c>
      <c r="N41">
        <f t="shared" si="6"/>
        <v>-40</v>
      </c>
      <c r="O41">
        <f t="shared" si="6"/>
        <v>-10</v>
      </c>
      <c r="P41">
        <f>P28-O28</f>
        <v>-10</v>
      </c>
      <c r="T41" s="50" t="s">
        <v>146</v>
      </c>
    </row>
    <row r="42" spans="2:20" x14ac:dyDescent="0.2">
      <c r="R42" t="s">
        <v>113</v>
      </c>
      <c r="S42" t="s">
        <v>145</v>
      </c>
    </row>
    <row r="43" spans="2:20" ht="26" x14ac:dyDescent="0.2">
      <c r="B43" s="11" t="s">
        <v>74</v>
      </c>
      <c r="D43">
        <f>(D18-C18)/C18</f>
        <v>1.3761690638748337E-2</v>
      </c>
      <c r="E43">
        <f t="shared" ref="E43:P43" si="7">(E18-D18)/D18</f>
        <v>1.6870401594114039E-2</v>
      </c>
      <c r="F43">
        <f t="shared" si="7"/>
        <v>2.7679118187385179E-2</v>
      </c>
      <c r="G43">
        <f t="shared" si="7"/>
        <v>5.1951266466818843E-2</v>
      </c>
      <c r="H43">
        <f t="shared" si="7"/>
        <v>4.2326797385620916E-2</v>
      </c>
      <c r="I43">
        <f t="shared" si="7"/>
        <v>9.6114775891043169E-2</v>
      </c>
      <c r="J43">
        <f t="shared" si="7"/>
        <v>2.4614234609429228E-2</v>
      </c>
      <c r="K43">
        <f t="shared" si="7"/>
        <v>2.075485744063128E-2</v>
      </c>
      <c r="L43">
        <f t="shared" si="7"/>
        <v>1.4214034627109497E-2</v>
      </c>
      <c r="M43">
        <f t="shared" si="7"/>
        <v>2.0313949391300597E-2</v>
      </c>
      <c r="N43">
        <f t="shared" si="7"/>
        <v>1.6477320779184169E-2</v>
      </c>
      <c r="O43">
        <f t="shared" si="7"/>
        <v>9.5611176592941827E-3</v>
      </c>
      <c r="P43">
        <f t="shared" si="7"/>
        <v>4.7524534884519501E-3</v>
      </c>
      <c r="R43" s="11" t="s">
        <v>51</v>
      </c>
      <c r="S43">
        <f>AVERAGE(D43:P43)*100</f>
        <v>2.7645539858394725</v>
      </c>
    </row>
    <row r="44" spans="2:20" ht="26" x14ac:dyDescent="0.2">
      <c r="B44" s="11" t="s">
        <v>75</v>
      </c>
      <c r="D44">
        <f t="shared" ref="D44:P53" si="8">(D19-C19)/C19</f>
        <v>1.1202938475665749E-2</v>
      </c>
      <c r="E44">
        <f t="shared" si="8"/>
        <v>2.0644145780360817E-2</v>
      </c>
      <c r="F44">
        <f t="shared" si="8"/>
        <v>4.9538327698360918E-2</v>
      </c>
      <c r="G44">
        <f t="shared" si="8"/>
        <v>5.1419959497009372E-2</v>
      </c>
      <c r="H44">
        <f t="shared" si="8"/>
        <v>5.7487637067297356E-2</v>
      </c>
      <c r="I44">
        <f t="shared" si="8"/>
        <v>8.7223930668157673E-2</v>
      </c>
      <c r="J44">
        <f t="shared" si="8"/>
        <v>2.7731675198890422E-2</v>
      </c>
      <c r="K44">
        <f t="shared" si="8"/>
        <v>1.9879298841511493E-2</v>
      </c>
      <c r="L44">
        <f t="shared" si="8"/>
        <v>1.6718952110498224E-2</v>
      </c>
      <c r="M44">
        <f t="shared" si="8"/>
        <v>1.8644848538024523E-2</v>
      </c>
      <c r="N44">
        <f t="shared" si="8"/>
        <v>2.0220073644996662E-2</v>
      </c>
      <c r="O44">
        <f t="shared" si="8"/>
        <v>1.2980708345645658E-2</v>
      </c>
      <c r="P44">
        <f t="shared" si="8"/>
        <v>1.0043131289979789E-2</v>
      </c>
      <c r="R44" s="11" t="s">
        <v>52</v>
      </c>
      <c r="S44">
        <f>AVERAGE(D44:P44)*100</f>
        <v>3.105658670433836</v>
      </c>
    </row>
    <row r="45" spans="2:20" ht="26" x14ac:dyDescent="0.2">
      <c r="B45" s="11" t="s">
        <v>76</v>
      </c>
      <c r="D45">
        <f t="shared" si="8"/>
        <v>9.8816717019133936E-3</v>
      </c>
      <c r="E45">
        <f t="shared" si="8"/>
        <v>1.8146878570686611E-2</v>
      </c>
      <c r="F45">
        <f t="shared" si="8"/>
        <v>3.46266463980738E-2</v>
      </c>
      <c r="G45">
        <f t="shared" si="8"/>
        <v>4.1376182070978491E-2</v>
      </c>
      <c r="H45">
        <f t="shared" si="8"/>
        <v>5.4788034884051248E-2</v>
      </c>
      <c r="I45">
        <f t="shared" si="8"/>
        <v>7.6755271875252482E-2</v>
      </c>
      <c r="J45">
        <f t="shared" si="8"/>
        <v>3.3340836897526323E-2</v>
      </c>
      <c r="K45">
        <f t="shared" si="8"/>
        <v>3.9107001662067743E-2</v>
      </c>
      <c r="L45">
        <f t="shared" si="8"/>
        <v>2.1756516472680121E-2</v>
      </c>
      <c r="M45">
        <f t="shared" si="8"/>
        <v>1.909705071015495E-2</v>
      </c>
      <c r="N45">
        <f t="shared" si="8"/>
        <v>1.9648929189285926E-2</v>
      </c>
      <c r="O45">
        <f t="shared" si="8"/>
        <v>7.6642362456943516E-3</v>
      </c>
      <c r="P45">
        <f t="shared" si="8"/>
        <v>6.7640633731774402E-3</v>
      </c>
      <c r="R45" s="11" t="s">
        <v>53</v>
      </c>
      <c r="S45">
        <f>AVERAGE(D45:P45)*100</f>
        <v>2.9457947696272528</v>
      </c>
    </row>
    <row r="46" spans="2:20" ht="26" x14ac:dyDescent="0.2">
      <c r="B46" s="11" t="s">
        <v>77</v>
      </c>
      <c r="D46">
        <f t="shared" si="8"/>
        <v>1.2767714646041897E-2</v>
      </c>
      <c r="E46">
        <f t="shared" si="8"/>
        <v>2.4177640641357651E-2</v>
      </c>
      <c r="F46">
        <f t="shared" si="8"/>
        <v>1.6892800654192536E-2</v>
      </c>
      <c r="G46">
        <f t="shared" si="8"/>
        <v>1.5808018283972956E-2</v>
      </c>
      <c r="H46">
        <f t="shared" si="8"/>
        <v>1.4499546889159713E-2</v>
      </c>
      <c r="I46">
        <f t="shared" si="8"/>
        <v>2.1962113044817495E-2</v>
      </c>
      <c r="J46">
        <f t="shared" si="8"/>
        <v>1.6044768621777485E-2</v>
      </c>
      <c r="K46">
        <f t="shared" si="8"/>
        <v>4.5544887324361474E-2</v>
      </c>
      <c r="L46">
        <f t="shared" si="8"/>
        <v>5.2753529984773541E-2</v>
      </c>
      <c r="M46">
        <f t="shared" si="8"/>
        <v>8.3196334725778198E-2</v>
      </c>
      <c r="N46">
        <f t="shared" si="8"/>
        <v>8.262838375796179E-2</v>
      </c>
      <c r="O46">
        <f t="shared" si="8"/>
        <v>2.9385854035958604E-2</v>
      </c>
      <c r="P46">
        <f t="shared" si="8"/>
        <v>8.6623255813953488E-3</v>
      </c>
      <c r="R46" s="11" t="s">
        <v>54</v>
      </c>
      <c r="S46">
        <f>AVERAGE(D46:P46)*100</f>
        <v>3.2640301399349898</v>
      </c>
    </row>
    <row r="47" spans="2:20" ht="26" x14ac:dyDescent="0.2">
      <c r="B47" s="11" t="s">
        <v>78</v>
      </c>
      <c r="D47">
        <f t="shared" si="8"/>
        <v>7.6598440876639176E-3</v>
      </c>
      <c r="E47">
        <f t="shared" si="8"/>
        <v>1.7684706939142151E-2</v>
      </c>
      <c r="F47">
        <f t="shared" si="8"/>
        <v>6.0462293815854804E-3</v>
      </c>
      <c r="G47">
        <f t="shared" si="8"/>
        <v>1.1383700909160698E-2</v>
      </c>
      <c r="H47">
        <f t="shared" si="8"/>
        <v>8.6965007969985152E-3</v>
      </c>
      <c r="I47">
        <f t="shared" si="8"/>
        <v>1.2556034529094954E-2</v>
      </c>
      <c r="J47">
        <f t="shared" si="8"/>
        <v>9.2790181652174838E-3</v>
      </c>
      <c r="K47">
        <f t="shared" si="8"/>
        <v>6.8237521695681896E-2</v>
      </c>
      <c r="L47">
        <f t="shared" si="8"/>
        <v>5.2574050732629586E-2</v>
      </c>
      <c r="M47">
        <f t="shared" si="8"/>
        <v>9.4180052576924161E-2</v>
      </c>
      <c r="N47">
        <f t="shared" si="8"/>
        <v>6.5066092101438128E-2</v>
      </c>
      <c r="O47">
        <f t="shared" si="8"/>
        <v>1.9924860317256439E-2</v>
      </c>
      <c r="P47">
        <f t="shared" si="8"/>
        <v>1.3506493506493506E-2</v>
      </c>
      <c r="R47" s="11" t="s">
        <v>55</v>
      </c>
      <c r="S47">
        <f>AVERAGE(D47:P47)*100</f>
        <v>2.9753469672252839</v>
      </c>
    </row>
    <row r="48" spans="2:20" ht="26" x14ac:dyDescent="0.2">
      <c r="B48" s="11" t="s">
        <v>79</v>
      </c>
      <c r="D48">
        <f t="shared" si="8"/>
        <v>1.6561553985872855E-2</v>
      </c>
      <c r="E48">
        <f t="shared" si="8"/>
        <v>2.6305014083108955E-2</v>
      </c>
      <c r="F48">
        <f t="shared" si="8"/>
        <v>2.0806886462829303E-2</v>
      </c>
      <c r="G48">
        <f t="shared" si="8"/>
        <v>1.6367813913826183E-2</v>
      </c>
      <c r="H48">
        <f t="shared" si="8"/>
        <v>1.4181504614524098E-2</v>
      </c>
      <c r="I48">
        <f t="shared" si="8"/>
        <v>2.2290395597072375E-2</v>
      </c>
      <c r="J48">
        <f t="shared" si="8"/>
        <v>2.3063176469265957E-2</v>
      </c>
      <c r="K48">
        <f t="shared" si="8"/>
        <v>5.0063169458939849E-2</v>
      </c>
      <c r="L48">
        <f t="shared" si="8"/>
        <v>4.8900420581280996E-2</v>
      </c>
      <c r="M48">
        <f t="shared" si="8"/>
        <v>7.0778806255984678E-2</v>
      </c>
      <c r="N48">
        <f t="shared" si="8"/>
        <v>5.2611968104925855E-2</v>
      </c>
      <c r="O48">
        <f t="shared" si="8"/>
        <v>3.3053097345132745E-2</v>
      </c>
      <c r="P48">
        <f t="shared" si="8"/>
        <v>2.5056752473551207E-2</v>
      </c>
      <c r="R48" s="11" t="s">
        <v>56</v>
      </c>
      <c r="S48">
        <f>AVERAGE(D48:P48)*100</f>
        <v>3.2310812257408847</v>
      </c>
    </row>
    <row r="49" spans="2:19" ht="26" x14ac:dyDescent="0.2">
      <c r="B49" s="11" t="s">
        <v>80</v>
      </c>
      <c r="D49">
        <f t="shared" si="8"/>
        <v>1.2854585887074903E-2</v>
      </c>
      <c r="E49">
        <f t="shared" si="8"/>
        <v>-2.9131412659312413E-2</v>
      </c>
      <c r="F49">
        <f t="shared" si="8"/>
        <v>-2.3110865968008824E-2</v>
      </c>
      <c r="G49">
        <f t="shared" si="8"/>
        <v>2.3092993055163456E-2</v>
      </c>
      <c r="H49">
        <f t="shared" si="8"/>
        <v>-8.1125827814569531E-3</v>
      </c>
      <c r="I49">
        <f t="shared" si="8"/>
        <v>5.4526233795137149E-3</v>
      </c>
      <c r="J49">
        <f t="shared" si="8"/>
        <v>5.5890653533285373E-3</v>
      </c>
      <c r="K49">
        <f t="shared" si="8"/>
        <v>2.0305965221219458E-2</v>
      </c>
      <c r="L49">
        <f t="shared" si="8"/>
        <v>1.1380184456070331E-2</v>
      </c>
      <c r="M49">
        <f t="shared" si="8"/>
        <v>3.1196672354948805E-2</v>
      </c>
      <c r="N49">
        <f t="shared" si="8"/>
        <v>-8.0674354863732745E-3</v>
      </c>
      <c r="O49">
        <f t="shared" si="8"/>
        <v>6.725405349043324E-3</v>
      </c>
      <c r="P49">
        <f t="shared" si="8"/>
        <v>9.2542723977213873E-2</v>
      </c>
      <c r="R49" s="11" t="s">
        <v>57</v>
      </c>
      <c r="S49">
        <f>AVERAGE(D49:P49)*100</f>
        <v>1.0824455549109611</v>
      </c>
    </row>
    <row r="50" spans="2:19" ht="26" x14ac:dyDescent="0.2">
      <c r="B50" s="11" t="s">
        <v>81</v>
      </c>
      <c r="D50">
        <f t="shared" si="8"/>
        <v>6.0359301544660848E-2</v>
      </c>
      <c r="E50">
        <f t="shared" si="8"/>
        <v>3.2459821075132608E-2</v>
      </c>
      <c r="F50">
        <f t="shared" si="8"/>
        <v>7.2847174296449659E-3</v>
      </c>
      <c r="G50">
        <f t="shared" si="8"/>
        <v>6.3185140073081609E-3</v>
      </c>
      <c r="H50">
        <f t="shared" si="8"/>
        <v>-2.0425145623723428E-3</v>
      </c>
      <c r="I50">
        <f t="shared" si="8"/>
        <v>8.2625833838690117E-3</v>
      </c>
      <c r="J50">
        <f t="shared" si="8"/>
        <v>-1.789339147432524E-2</v>
      </c>
      <c r="K50">
        <f t="shared" si="8"/>
        <v>-3.705121335068514E-2</v>
      </c>
      <c r="L50">
        <f t="shared" si="8"/>
        <v>-1.9635901105016298E-2</v>
      </c>
      <c r="M50">
        <f t="shared" si="8"/>
        <v>-4.4599416153097635E-3</v>
      </c>
      <c r="N50">
        <f t="shared" si="8"/>
        <v>5.7831717846379407E-3</v>
      </c>
      <c r="O50">
        <f t="shared" si="8"/>
        <v>-1.9436345966958211E-3</v>
      </c>
      <c r="P50">
        <f t="shared" si="8"/>
        <v>-5.6799740344044142E-4</v>
      </c>
      <c r="R50" s="11" t="s">
        <v>58</v>
      </c>
      <c r="S50">
        <f>AVERAGE(D50:P50)*100</f>
        <v>0.28364242398006534</v>
      </c>
    </row>
    <row r="51" spans="2:19" ht="26" x14ac:dyDescent="0.2">
      <c r="B51" s="11" t="s">
        <v>82</v>
      </c>
      <c r="D51">
        <f t="shared" si="8"/>
        <v>4.7654048756584591E-2</v>
      </c>
      <c r="E51">
        <f t="shared" si="8"/>
        <v>3.8236669784845648E-2</v>
      </c>
      <c r="F51">
        <f t="shared" si="8"/>
        <v>1.0023651312084695E-2</v>
      </c>
      <c r="G51">
        <f t="shared" si="8"/>
        <v>2.0851917930419267E-2</v>
      </c>
      <c r="H51">
        <f t="shared" si="8"/>
        <v>1.8350628072091753E-2</v>
      </c>
      <c r="I51">
        <f t="shared" si="8"/>
        <v>2.7566234044835353E-2</v>
      </c>
      <c r="J51">
        <f t="shared" si="8"/>
        <v>7.5156576200417534E-3</v>
      </c>
      <c r="K51">
        <f t="shared" si="8"/>
        <v>-3.4189805221715706E-3</v>
      </c>
      <c r="L51">
        <f t="shared" si="8"/>
        <v>2.9109054995321757E-3</v>
      </c>
      <c r="M51">
        <f t="shared" si="8"/>
        <v>1.1506167720534881E-2</v>
      </c>
      <c r="N51">
        <f t="shared" si="8"/>
        <v>-1.2297601967616314E-3</v>
      </c>
      <c r="O51">
        <f t="shared" si="8"/>
        <v>-5.4381284629591627E-3</v>
      </c>
      <c r="P51">
        <f t="shared" si="8"/>
        <v>1.4546580006190035E-2</v>
      </c>
      <c r="R51" s="11" t="s">
        <v>59</v>
      </c>
      <c r="S51">
        <f>AVERAGE(D51:P51)*100</f>
        <v>1.4544276274251369</v>
      </c>
    </row>
    <row r="52" spans="2:19" ht="26" x14ac:dyDescent="0.2">
      <c r="B52" s="11" t="s">
        <v>83</v>
      </c>
      <c r="D52">
        <f t="shared" si="8"/>
        <v>3.5201033424834494E-2</v>
      </c>
      <c r="E52">
        <f t="shared" si="8"/>
        <v>2.2773358290438309E-2</v>
      </c>
      <c r="F52">
        <f t="shared" si="8"/>
        <v>1.5250876925423212E-2</v>
      </c>
      <c r="G52">
        <f t="shared" si="8"/>
        <v>2.0579840769115218E-2</v>
      </c>
      <c r="H52">
        <f t="shared" si="8"/>
        <v>2.0900794818957905E-2</v>
      </c>
      <c r="I52">
        <f t="shared" si="8"/>
        <v>2.2491349480968859E-2</v>
      </c>
      <c r="J52">
        <f t="shared" si="8"/>
        <v>1.9035532994923859E-2</v>
      </c>
      <c r="K52">
        <f t="shared" si="8"/>
        <v>5.1196900511969005E-3</v>
      </c>
      <c r="L52">
        <f t="shared" si="8"/>
        <v>1.0187224669603524E-2</v>
      </c>
      <c r="M52">
        <f t="shared" si="8"/>
        <v>2.3439629326792041E-2</v>
      </c>
      <c r="N52">
        <f t="shared" si="8"/>
        <v>1.2782956058588549E-2</v>
      </c>
      <c r="O52">
        <f t="shared" si="8"/>
        <v>-8.2829345253747043E-3</v>
      </c>
      <c r="P52">
        <f t="shared" si="8"/>
        <v>1.8029961553758453E-2</v>
      </c>
      <c r="R52" s="11" t="s">
        <v>60</v>
      </c>
      <c r="S52">
        <f>AVERAGE(D52:P52)*100</f>
        <v>1.6731485679940508</v>
      </c>
    </row>
    <row r="53" spans="2:19" ht="26" x14ac:dyDescent="0.2">
      <c r="B53" s="11" t="s">
        <v>84</v>
      </c>
      <c r="D53">
        <f t="shared" si="8"/>
        <v>8.35573476702509E-2</v>
      </c>
      <c r="E53">
        <f t="shared" si="8"/>
        <v>6.1815174695058921E-2</v>
      </c>
      <c r="F53">
        <f t="shared" si="8"/>
        <v>9.5404984423676006E-3</v>
      </c>
      <c r="G53">
        <f t="shared" si="8"/>
        <v>1.71648987463838E-2</v>
      </c>
      <c r="H53">
        <f t="shared" si="8"/>
        <v>2.0857034508911642E-2</v>
      </c>
      <c r="I53">
        <f t="shared" si="8"/>
        <v>3.473254086181278E-2</v>
      </c>
      <c r="J53">
        <f t="shared" si="8"/>
        <v>1.6334589840244121E-2</v>
      </c>
      <c r="K53">
        <f t="shared" si="8"/>
        <v>7.7711056163899681E-3</v>
      </c>
      <c r="L53">
        <f t="shared" si="8"/>
        <v>7.1854188573431477E-3</v>
      </c>
      <c r="M53">
        <f t="shared" si="8"/>
        <v>9.2222028884635463E-3</v>
      </c>
      <c r="N53">
        <f t="shared" si="8"/>
        <v>-6.8965517241379309E-3</v>
      </c>
      <c r="O53">
        <f t="shared" si="8"/>
        <v>-1.736111111111111E-3</v>
      </c>
      <c r="P53">
        <f t="shared" si="8"/>
        <v>-1.7391304347826088E-3</v>
      </c>
      <c r="R53" s="11" t="s">
        <v>61</v>
      </c>
      <c r="S53">
        <f>AVERAGE(D53:P53)*100</f>
        <v>1.9831462989014979</v>
      </c>
    </row>
    <row r="55" spans="2:19" ht="26" x14ac:dyDescent="0.2">
      <c r="B55" s="11" t="s">
        <v>85</v>
      </c>
      <c r="D55">
        <f>(D48+D47+D50+D51)/4</f>
        <v>3.3058687093695555E-2</v>
      </c>
      <c r="E55">
        <f t="shared" ref="E55:P55" si="9">(E48+E47+E50+E51)/4</f>
        <v>2.8671552970557342E-2</v>
      </c>
      <c r="F55">
        <f>(F48+F47+F50+F51)/4</f>
        <v>1.1040371146536112E-2</v>
      </c>
      <c r="G55">
        <f t="shared" si="9"/>
        <v>1.3730486690178578E-2</v>
      </c>
      <c r="H55">
        <f t="shared" si="9"/>
        <v>9.7965297303105065E-3</v>
      </c>
      <c r="I55">
        <f t="shared" si="9"/>
        <v>1.7668811888717925E-2</v>
      </c>
      <c r="J55">
        <f t="shared" si="9"/>
        <v>5.4911151950499887E-3</v>
      </c>
      <c r="K55">
        <f t="shared" si="9"/>
        <v>1.9457624320441257E-2</v>
      </c>
      <c r="L55">
        <f t="shared" si="9"/>
        <v>2.1187368927106612E-2</v>
      </c>
      <c r="M55">
        <f t="shared" si="9"/>
        <v>4.300127123453349E-2</v>
      </c>
      <c r="N55">
        <f t="shared" si="9"/>
        <v>3.0557867948560073E-2</v>
      </c>
      <c r="O55">
        <f t="shared" si="9"/>
        <v>1.1399048650683549E-2</v>
      </c>
      <c r="P55">
        <f t="shared" si="9"/>
        <v>1.3135457145698578E-2</v>
      </c>
    </row>
    <row r="56" spans="2:19" ht="26" x14ac:dyDescent="0.2">
      <c r="B56" s="11" t="s">
        <v>86</v>
      </c>
      <c r="D56">
        <f>(D55-D49)*C24</f>
        <v>372.50301394646499</v>
      </c>
      <c r="E56">
        <f t="shared" ref="E56:P56" si="10">(E55-E49)*D24</f>
        <v>1079.4125801721877</v>
      </c>
      <c r="F56">
        <f t="shared" si="10"/>
        <v>619.16192888669968</v>
      </c>
      <c r="G56">
        <v>0</v>
      </c>
      <c r="H56">
        <f t="shared" si="10"/>
        <v>324.51311871322639</v>
      </c>
      <c r="I56">
        <f t="shared" si="10"/>
        <v>219.56155607592726</v>
      </c>
      <c r="J56">
        <v>0</v>
      </c>
      <c r="K56">
        <v>0</v>
      </c>
      <c r="L56">
        <f t="shared" si="10"/>
        <v>181.8350072774837</v>
      </c>
      <c r="M56">
        <f t="shared" si="10"/>
        <v>221.35983818997204</v>
      </c>
      <c r="N56">
        <f t="shared" si="10"/>
        <v>746.89749252130616</v>
      </c>
      <c r="O56">
        <f t="shared" si="10"/>
        <v>89.645152168761157</v>
      </c>
      <c r="P56">
        <f>(P55-P49)*O24</f>
        <v>-1533.3543225165604</v>
      </c>
    </row>
    <row r="57" spans="2:19" ht="39" x14ac:dyDescent="0.2">
      <c r="B57" s="11" t="s">
        <v>87</v>
      </c>
      <c r="D57">
        <f>AVERAGE(D56:O56)</f>
        <v>321.24080732933578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2548-F78B-0642-90CA-E5C516C8F66E}">
  <sheetPr filterMode="1"/>
  <dimension ref="A1:J401"/>
  <sheetViews>
    <sheetView workbookViewId="0">
      <selection activeCell="J302" sqref="J302:J312"/>
    </sheetView>
  </sheetViews>
  <sheetFormatPr baseColWidth="10" defaultRowHeight="16" x14ac:dyDescent="0.2"/>
  <sheetData>
    <row r="1" spans="1:7" x14ac:dyDescent="0.2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125</v>
      </c>
      <c r="G1" t="s">
        <v>126</v>
      </c>
    </row>
    <row r="2" spans="1:7" hidden="1" x14ac:dyDescent="0.2">
      <c r="A2" s="37">
        <v>2024</v>
      </c>
      <c r="B2" s="38" t="s">
        <v>89</v>
      </c>
      <c r="C2" s="38" t="s">
        <v>90</v>
      </c>
      <c r="D2" s="39">
        <v>1</v>
      </c>
      <c r="E2" s="40">
        <v>285</v>
      </c>
    </row>
    <row r="3" spans="1:7" hidden="1" x14ac:dyDescent="0.2">
      <c r="A3" s="37">
        <v>2024</v>
      </c>
      <c r="B3" s="38" t="s">
        <v>89</v>
      </c>
      <c r="C3" s="38" t="s">
        <v>90</v>
      </c>
      <c r="D3" s="39">
        <v>2</v>
      </c>
      <c r="E3" s="40">
        <v>178</v>
      </c>
    </row>
    <row r="4" spans="1:7" hidden="1" x14ac:dyDescent="0.2">
      <c r="A4" s="37">
        <v>2024</v>
      </c>
      <c r="B4" s="38" t="s">
        <v>89</v>
      </c>
      <c r="C4" s="38" t="s">
        <v>90</v>
      </c>
      <c r="D4" s="39">
        <v>3</v>
      </c>
      <c r="E4" s="40">
        <v>186</v>
      </c>
    </row>
    <row r="5" spans="1:7" hidden="1" x14ac:dyDescent="0.2">
      <c r="A5" s="37">
        <v>2024</v>
      </c>
      <c r="B5" s="38" t="s">
        <v>89</v>
      </c>
      <c r="C5" s="38" t="s">
        <v>90</v>
      </c>
      <c r="D5" s="39">
        <v>4</v>
      </c>
      <c r="E5" s="40">
        <v>149</v>
      </c>
    </row>
    <row r="6" spans="1:7" hidden="1" x14ac:dyDescent="0.2">
      <c r="A6" s="37">
        <v>2024</v>
      </c>
      <c r="B6" s="38" t="s">
        <v>89</v>
      </c>
      <c r="C6" s="38" t="s">
        <v>90</v>
      </c>
      <c r="D6" s="39">
        <v>5</v>
      </c>
      <c r="E6" s="40">
        <v>117</v>
      </c>
    </row>
    <row r="7" spans="1:7" hidden="1" x14ac:dyDescent="0.2">
      <c r="A7" s="37">
        <v>2024</v>
      </c>
      <c r="B7" s="38" t="s">
        <v>89</v>
      </c>
      <c r="C7" s="38" t="s">
        <v>90</v>
      </c>
      <c r="D7" s="39">
        <v>6</v>
      </c>
      <c r="E7" s="40">
        <v>99</v>
      </c>
    </row>
    <row r="8" spans="1:7" hidden="1" x14ac:dyDescent="0.2">
      <c r="A8" s="37">
        <v>2024</v>
      </c>
      <c r="B8" s="38" t="s">
        <v>89</v>
      </c>
      <c r="C8" s="38" t="s">
        <v>90</v>
      </c>
      <c r="D8" s="39">
        <v>7</v>
      </c>
      <c r="E8" s="40">
        <v>117</v>
      </c>
    </row>
    <row r="9" spans="1:7" hidden="1" x14ac:dyDescent="0.2">
      <c r="A9" s="37">
        <v>2024</v>
      </c>
      <c r="B9" s="38" t="s">
        <v>89</v>
      </c>
      <c r="C9" s="38" t="s">
        <v>90</v>
      </c>
      <c r="D9" s="39">
        <v>8</v>
      </c>
      <c r="E9" s="40">
        <v>88</v>
      </c>
    </row>
    <row r="10" spans="1:7" hidden="1" x14ac:dyDescent="0.2">
      <c r="A10" s="37">
        <v>2024</v>
      </c>
      <c r="B10" s="38" t="s">
        <v>89</v>
      </c>
      <c r="C10" s="38" t="s">
        <v>90</v>
      </c>
      <c r="D10" s="39">
        <v>9</v>
      </c>
      <c r="E10" s="40">
        <v>79</v>
      </c>
    </row>
    <row r="11" spans="1:7" hidden="1" x14ac:dyDescent="0.2">
      <c r="A11" s="37">
        <v>2024</v>
      </c>
      <c r="B11" s="38" t="s">
        <v>89</v>
      </c>
      <c r="C11" s="38" t="s">
        <v>90</v>
      </c>
      <c r="D11" s="39">
        <v>10</v>
      </c>
      <c r="E11" s="40">
        <v>71</v>
      </c>
    </row>
    <row r="12" spans="1:7" hidden="1" x14ac:dyDescent="0.2">
      <c r="A12" s="37">
        <v>2024</v>
      </c>
      <c r="B12" s="38" t="s">
        <v>89</v>
      </c>
      <c r="C12" s="38" t="s">
        <v>91</v>
      </c>
      <c r="D12" s="39">
        <v>1</v>
      </c>
      <c r="E12" s="40">
        <v>40</v>
      </c>
    </row>
    <row r="13" spans="1:7" hidden="1" x14ac:dyDescent="0.2">
      <c r="A13" s="37">
        <v>2024</v>
      </c>
      <c r="B13" s="38" t="s">
        <v>89</v>
      </c>
      <c r="C13" s="38" t="s">
        <v>91</v>
      </c>
      <c r="D13" s="39">
        <v>2</v>
      </c>
      <c r="E13" s="40">
        <v>30</v>
      </c>
    </row>
    <row r="14" spans="1:7" hidden="1" x14ac:dyDescent="0.2">
      <c r="A14" s="37">
        <v>2024</v>
      </c>
      <c r="B14" s="38" t="s">
        <v>89</v>
      </c>
      <c r="C14" s="38" t="s">
        <v>91</v>
      </c>
      <c r="D14" s="39">
        <v>3</v>
      </c>
      <c r="E14" s="40">
        <v>27</v>
      </c>
    </row>
    <row r="15" spans="1:7" hidden="1" x14ac:dyDescent="0.2">
      <c r="A15" s="37">
        <v>2024</v>
      </c>
      <c r="B15" s="38" t="s">
        <v>89</v>
      </c>
      <c r="C15" s="38" t="s">
        <v>91</v>
      </c>
      <c r="D15" s="39">
        <v>4</v>
      </c>
      <c r="E15" s="40">
        <v>20</v>
      </c>
    </row>
    <row r="16" spans="1:7" hidden="1" x14ac:dyDescent="0.2">
      <c r="A16" s="37">
        <v>2024</v>
      </c>
      <c r="B16" s="38" t="s">
        <v>89</v>
      </c>
      <c r="C16" s="38" t="s">
        <v>91</v>
      </c>
      <c r="D16" s="39">
        <v>5</v>
      </c>
      <c r="E16" s="40">
        <v>20</v>
      </c>
    </row>
    <row r="17" spans="1:5" hidden="1" x14ac:dyDescent="0.2">
      <c r="A17" s="37">
        <v>2024</v>
      </c>
      <c r="B17" s="38" t="s">
        <v>89</v>
      </c>
      <c r="C17" s="38" t="s">
        <v>91</v>
      </c>
      <c r="D17" s="39">
        <v>6</v>
      </c>
      <c r="E17" s="40">
        <v>19</v>
      </c>
    </row>
    <row r="18" spans="1:5" hidden="1" x14ac:dyDescent="0.2">
      <c r="A18" s="37">
        <v>2024</v>
      </c>
      <c r="B18" s="38" t="s">
        <v>89</v>
      </c>
      <c r="C18" s="38" t="s">
        <v>91</v>
      </c>
      <c r="D18" s="39">
        <v>7</v>
      </c>
      <c r="E18" s="40">
        <v>14</v>
      </c>
    </row>
    <row r="19" spans="1:5" hidden="1" x14ac:dyDescent="0.2">
      <c r="A19" s="37">
        <v>2024</v>
      </c>
      <c r="B19" s="38" t="s">
        <v>89</v>
      </c>
      <c r="C19" s="38" t="s">
        <v>91</v>
      </c>
      <c r="D19" s="39">
        <v>8</v>
      </c>
      <c r="E19" s="40">
        <v>13</v>
      </c>
    </row>
    <row r="20" spans="1:5" hidden="1" x14ac:dyDescent="0.2">
      <c r="A20" s="37">
        <v>2024</v>
      </c>
      <c r="B20" s="38" t="s">
        <v>89</v>
      </c>
      <c r="C20" s="38" t="s">
        <v>91</v>
      </c>
      <c r="D20" s="39">
        <v>9</v>
      </c>
      <c r="E20" s="40">
        <v>11</v>
      </c>
    </row>
    <row r="21" spans="1:5" hidden="1" x14ac:dyDescent="0.2">
      <c r="A21" s="37">
        <v>2024</v>
      </c>
      <c r="B21" s="38" t="s">
        <v>89</v>
      </c>
      <c r="C21" s="38" t="s">
        <v>91</v>
      </c>
      <c r="D21" s="39">
        <v>10</v>
      </c>
      <c r="E21" s="40">
        <v>6</v>
      </c>
    </row>
    <row r="22" spans="1:5" hidden="1" x14ac:dyDescent="0.2">
      <c r="A22" s="37">
        <v>2024</v>
      </c>
      <c r="B22" s="38" t="s">
        <v>89</v>
      </c>
      <c r="C22" s="38" t="s">
        <v>92</v>
      </c>
      <c r="D22" s="39">
        <v>1</v>
      </c>
      <c r="E22" s="40">
        <v>28</v>
      </c>
    </row>
    <row r="23" spans="1:5" hidden="1" x14ac:dyDescent="0.2">
      <c r="A23" s="37">
        <v>2024</v>
      </c>
      <c r="B23" s="38" t="s">
        <v>89</v>
      </c>
      <c r="C23" s="38" t="s">
        <v>92</v>
      </c>
      <c r="D23" s="39">
        <v>2</v>
      </c>
      <c r="E23" s="40">
        <v>16</v>
      </c>
    </row>
    <row r="24" spans="1:5" hidden="1" x14ac:dyDescent="0.2">
      <c r="A24" s="37">
        <v>2024</v>
      </c>
      <c r="B24" s="38" t="s">
        <v>89</v>
      </c>
      <c r="C24" s="38" t="s">
        <v>92</v>
      </c>
      <c r="D24" s="39">
        <v>3</v>
      </c>
      <c r="E24" s="40">
        <v>32</v>
      </c>
    </row>
    <row r="25" spans="1:5" hidden="1" x14ac:dyDescent="0.2">
      <c r="A25" s="37">
        <v>2024</v>
      </c>
      <c r="B25" s="38" t="s">
        <v>89</v>
      </c>
      <c r="C25" s="38" t="s">
        <v>92</v>
      </c>
      <c r="D25" s="39">
        <v>4</v>
      </c>
      <c r="E25" s="40">
        <v>19</v>
      </c>
    </row>
    <row r="26" spans="1:5" hidden="1" x14ac:dyDescent="0.2">
      <c r="A26" s="37">
        <v>2024</v>
      </c>
      <c r="B26" s="38" t="s">
        <v>89</v>
      </c>
      <c r="C26" s="38" t="s">
        <v>92</v>
      </c>
      <c r="D26" s="39">
        <v>5</v>
      </c>
      <c r="E26" s="40">
        <v>22</v>
      </c>
    </row>
    <row r="27" spans="1:5" hidden="1" x14ac:dyDescent="0.2">
      <c r="A27" s="37">
        <v>2024</v>
      </c>
      <c r="B27" s="38" t="s">
        <v>89</v>
      </c>
      <c r="C27" s="38" t="s">
        <v>92</v>
      </c>
      <c r="D27" s="39">
        <v>6</v>
      </c>
      <c r="E27" s="40">
        <v>15</v>
      </c>
    </row>
    <row r="28" spans="1:5" hidden="1" x14ac:dyDescent="0.2">
      <c r="A28" s="37">
        <v>2024</v>
      </c>
      <c r="B28" s="38" t="s">
        <v>89</v>
      </c>
      <c r="C28" s="38" t="s">
        <v>92</v>
      </c>
      <c r="D28" s="39">
        <v>7</v>
      </c>
      <c r="E28" s="40">
        <v>12</v>
      </c>
    </row>
    <row r="29" spans="1:5" hidden="1" x14ac:dyDescent="0.2">
      <c r="A29" s="37">
        <v>2024</v>
      </c>
      <c r="B29" s="38" t="s">
        <v>89</v>
      </c>
      <c r="C29" s="38" t="s">
        <v>92</v>
      </c>
      <c r="D29" s="39">
        <v>8</v>
      </c>
      <c r="E29" s="40">
        <v>11</v>
      </c>
    </row>
    <row r="30" spans="1:5" hidden="1" x14ac:dyDescent="0.2">
      <c r="A30" s="37">
        <v>2024</v>
      </c>
      <c r="B30" s="38" t="s">
        <v>89</v>
      </c>
      <c r="C30" s="38" t="s">
        <v>92</v>
      </c>
      <c r="D30" s="39">
        <v>9</v>
      </c>
      <c r="E30" s="40">
        <v>7</v>
      </c>
    </row>
    <row r="31" spans="1:5" hidden="1" x14ac:dyDescent="0.2">
      <c r="A31" s="37">
        <v>2024</v>
      </c>
      <c r="B31" s="38" t="s">
        <v>89</v>
      </c>
      <c r="C31" s="38" t="s">
        <v>92</v>
      </c>
      <c r="D31" s="39">
        <v>10</v>
      </c>
      <c r="E31" s="40">
        <v>8</v>
      </c>
    </row>
    <row r="32" spans="1:5" hidden="1" x14ac:dyDescent="0.2">
      <c r="A32" s="37">
        <v>2024</v>
      </c>
      <c r="B32" s="38" t="s">
        <v>89</v>
      </c>
      <c r="C32" s="38" t="s">
        <v>93</v>
      </c>
      <c r="D32" s="39">
        <v>1</v>
      </c>
      <c r="E32" s="40">
        <v>22</v>
      </c>
    </row>
    <row r="33" spans="1:7" hidden="1" x14ac:dyDescent="0.2">
      <c r="A33" s="37">
        <v>2024</v>
      </c>
      <c r="B33" s="38" t="s">
        <v>89</v>
      </c>
      <c r="C33" s="38" t="s">
        <v>93</v>
      </c>
      <c r="D33" s="39">
        <v>2</v>
      </c>
      <c r="E33" s="40">
        <v>24</v>
      </c>
    </row>
    <row r="34" spans="1:7" hidden="1" x14ac:dyDescent="0.2">
      <c r="A34" s="37">
        <v>2024</v>
      </c>
      <c r="B34" s="38" t="s">
        <v>89</v>
      </c>
      <c r="C34" s="38" t="s">
        <v>93</v>
      </c>
      <c r="D34" s="39">
        <v>3</v>
      </c>
      <c r="E34" s="40">
        <v>17</v>
      </c>
    </row>
    <row r="35" spans="1:7" hidden="1" x14ac:dyDescent="0.2">
      <c r="A35" s="37">
        <v>2024</v>
      </c>
      <c r="B35" s="38" t="s">
        <v>89</v>
      </c>
      <c r="C35" s="38" t="s">
        <v>93</v>
      </c>
      <c r="D35" s="39">
        <v>4</v>
      </c>
      <c r="E35" s="40">
        <v>16</v>
      </c>
    </row>
    <row r="36" spans="1:7" hidden="1" x14ac:dyDescent="0.2">
      <c r="A36" s="37">
        <v>2024</v>
      </c>
      <c r="B36" s="38" t="s">
        <v>89</v>
      </c>
      <c r="C36" s="38" t="s">
        <v>93</v>
      </c>
      <c r="D36" s="39">
        <v>5</v>
      </c>
      <c r="E36" s="40">
        <v>16</v>
      </c>
    </row>
    <row r="37" spans="1:7" hidden="1" x14ac:dyDescent="0.2">
      <c r="A37" s="37">
        <v>2024</v>
      </c>
      <c r="B37" s="38" t="s">
        <v>89</v>
      </c>
      <c r="C37" s="38" t="s">
        <v>93</v>
      </c>
      <c r="D37" s="39">
        <v>6</v>
      </c>
      <c r="E37" s="40">
        <v>18</v>
      </c>
    </row>
    <row r="38" spans="1:7" hidden="1" x14ac:dyDescent="0.2">
      <c r="A38" s="37">
        <v>2024</v>
      </c>
      <c r="B38" s="38" t="s">
        <v>89</v>
      </c>
      <c r="C38" s="38" t="s">
        <v>93</v>
      </c>
      <c r="D38" s="39">
        <v>7</v>
      </c>
      <c r="E38" s="40">
        <v>11</v>
      </c>
    </row>
    <row r="39" spans="1:7" hidden="1" x14ac:dyDescent="0.2">
      <c r="A39" s="37">
        <v>2024</v>
      </c>
      <c r="B39" s="38" t="s">
        <v>89</v>
      </c>
      <c r="C39" s="38" t="s">
        <v>93</v>
      </c>
      <c r="D39" s="39">
        <v>8</v>
      </c>
      <c r="E39" s="40">
        <v>8</v>
      </c>
    </row>
    <row r="40" spans="1:7" hidden="1" x14ac:dyDescent="0.2">
      <c r="A40" s="37">
        <v>2024</v>
      </c>
      <c r="B40" s="38" t="s">
        <v>89</v>
      </c>
      <c r="C40" s="38" t="s">
        <v>93</v>
      </c>
      <c r="D40" s="39">
        <v>9</v>
      </c>
      <c r="E40" s="40">
        <v>12</v>
      </c>
    </row>
    <row r="41" spans="1:7" hidden="1" x14ac:dyDescent="0.2">
      <c r="A41" s="37">
        <v>2024</v>
      </c>
      <c r="B41" s="38" t="s">
        <v>89</v>
      </c>
      <c r="C41" s="38" t="s">
        <v>93</v>
      </c>
      <c r="D41" s="39">
        <v>10</v>
      </c>
      <c r="E41" s="40">
        <v>15</v>
      </c>
    </row>
    <row r="42" spans="1:7" x14ac:dyDescent="0.2">
      <c r="A42" s="37">
        <v>2024</v>
      </c>
      <c r="B42" s="38" t="s">
        <v>89</v>
      </c>
      <c r="C42" s="38" t="s">
        <v>94</v>
      </c>
      <c r="D42" s="39">
        <v>1</v>
      </c>
      <c r="E42" s="40">
        <v>61</v>
      </c>
      <c r="F42" s="24">
        <f>'Populations decile 1'!E42</f>
        <v>223908</v>
      </c>
      <c r="G42">
        <f>E42/F42</f>
        <v>2.7243332082819727E-4</v>
      </c>
    </row>
    <row r="43" spans="1:7" hidden="1" x14ac:dyDescent="0.2">
      <c r="A43" s="37">
        <v>2024</v>
      </c>
      <c r="B43" s="38" t="s">
        <v>89</v>
      </c>
      <c r="C43" s="38" t="s">
        <v>94</v>
      </c>
      <c r="D43" s="39">
        <v>2</v>
      </c>
      <c r="E43" s="40">
        <v>91</v>
      </c>
      <c r="F43" s="24">
        <v>208425</v>
      </c>
    </row>
    <row r="44" spans="1:7" hidden="1" x14ac:dyDescent="0.2">
      <c r="A44" s="37">
        <v>2024</v>
      </c>
      <c r="B44" s="38" t="s">
        <v>89</v>
      </c>
      <c r="C44" s="38" t="s">
        <v>94</v>
      </c>
      <c r="D44" s="39">
        <v>3</v>
      </c>
      <c r="E44" s="40">
        <v>69</v>
      </c>
      <c r="F44" s="24">
        <v>213956</v>
      </c>
    </row>
    <row r="45" spans="1:7" hidden="1" x14ac:dyDescent="0.2">
      <c r="A45" s="37">
        <v>2024</v>
      </c>
      <c r="B45" s="38" t="s">
        <v>89</v>
      </c>
      <c r="C45" s="38" t="s">
        <v>94</v>
      </c>
      <c r="D45" s="39">
        <v>4</v>
      </c>
      <c r="E45" s="40">
        <v>63</v>
      </c>
      <c r="F45" s="24">
        <v>201724</v>
      </c>
    </row>
    <row r="46" spans="1:7" hidden="1" x14ac:dyDescent="0.2">
      <c r="A46" s="37">
        <v>2024</v>
      </c>
      <c r="B46" s="38" t="s">
        <v>89</v>
      </c>
      <c r="C46" s="38" t="s">
        <v>94</v>
      </c>
      <c r="D46" s="39">
        <v>5</v>
      </c>
      <c r="E46" s="40">
        <v>48</v>
      </c>
      <c r="F46" s="24">
        <v>214810</v>
      </c>
    </row>
    <row r="47" spans="1:7" hidden="1" x14ac:dyDescent="0.2">
      <c r="A47" s="37">
        <v>2024</v>
      </c>
      <c r="B47" s="38" t="s">
        <v>89</v>
      </c>
      <c r="C47" s="38" t="s">
        <v>94</v>
      </c>
      <c r="D47" s="39">
        <v>6</v>
      </c>
      <c r="E47" s="40">
        <v>50</v>
      </c>
      <c r="F47" s="24">
        <v>225382</v>
      </c>
    </row>
    <row r="48" spans="1:7" hidden="1" x14ac:dyDescent="0.2">
      <c r="A48" s="37">
        <v>2024</v>
      </c>
      <c r="B48" s="38" t="s">
        <v>89</v>
      </c>
      <c r="C48" s="38" t="s">
        <v>94</v>
      </c>
      <c r="D48" s="39">
        <v>7</v>
      </c>
      <c r="E48" s="40">
        <v>56</v>
      </c>
      <c r="F48" s="24">
        <v>218806</v>
      </c>
    </row>
    <row r="49" spans="1:7" hidden="1" x14ac:dyDescent="0.2">
      <c r="A49" s="37">
        <v>2024</v>
      </c>
      <c r="B49" s="38" t="s">
        <v>89</v>
      </c>
      <c r="C49" s="38" t="s">
        <v>94</v>
      </c>
      <c r="D49" s="39">
        <v>8</v>
      </c>
      <c r="E49" s="40">
        <v>47</v>
      </c>
      <c r="F49" s="24">
        <v>239675</v>
      </c>
    </row>
    <row r="50" spans="1:7" hidden="1" x14ac:dyDescent="0.2">
      <c r="A50" s="37">
        <v>2024</v>
      </c>
      <c r="B50" s="38" t="s">
        <v>89</v>
      </c>
      <c r="C50" s="38" t="s">
        <v>94</v>
      </c>
      <c r="D50" s="39">
        <v>9</v>
      </c>
      <c r="E50" s="40">
        <v>41</v>
      </c>
      <c r="F50" s="24">
        <v>212976</v>
      </c>
    </row>
    <row r="51" spans="1:7" hidden="1" x14ac:dyDescent="0.2">
      <c r="A51" s="37">
        <v>2024</v>
      </c>
      <c r="B51" s="38" t="s">
        <v>89</v>
      </c>
      <c r="C51" s="38" t="s">
        <v>94</v>
      </c>
      <c r="D51" s="39">
        <v>10</v>
      </c>
      <c r="E51" s="40">
        <v>43</v>
      </c>
      <c r="F51" s="24">
        <v>238057</v>
      </c>
    </row>
    <row r="52" spans="1:7" x14ac:dyDescent="0.2">
      <c r="A52" s="37">
        <v>2024</v>
      </c>
      <c r="B52" s="38" t="s">
        <v>110</v>
      </c>
      <c r="C52" s="38" t="s">
        <v>94</v>
      </c>
      <c r="D52" s="39">
        <v>1</v>
      </c>
      <c r="E52" s="40">
        <v>44</v>
      </c>
      <c r="F52" s="24">
        <f>'Populations decile 1'!E52</f>
        <v>208425</v>
      </c>
      <c r="G52">
        <f>E52/F52</f>
        <v>2.1110711287033706E-4</v>
      </c>
    </row>
    <row r="53" spans="1:7" hidden="1" x14ac:dyDescent="0.2">
      <c r="A53" s="37">
        <v>2024</v>
      </c>
      <c r="B53" s="38" t="s">
        <v>89</v>
      </c>
      <c r="C53" s="38" t="s">
        <v>95</v>
      </c>
      <c r="D53" s="39">
        <v>2</v>
      </c>
      <c r="E53" s="40">
        <v>130</v>
      </c>
      <c r="F53" s="24">
        <v>207794</v>
      </c>
    </row>
    <row r="54" spans="1:7" hidden="1" x14ac:dyDescent="0.2">
      <c r="A54" s="37">
        <v>2024</v>
      </c>
      <c r="B54" s="38" t="s">
        <v>89</v>
      </c>
      <c r="C54" s="38" t="s">
        <v>95</v>
      </c>
      <c r="D54" s="39">
        <v>3</v>
      </c>
      <c r="E54" s="40">
        <v>101</v>
      </c>
      <c r="F54" s="24">
        <v>169270</v>
      </c>
    </row>
    <row r="55" spans="1:7" hidden="1" x14ac:dyDescent="0.2">
      <c r="A55" s="37">
        <v>2024</v>
      </c>
      <c r="B55" s="38" t="s">
        <v>89</v>
      </c>
      <c r="C55" s="38" t="s">
        <v>95</v>
      </c>
      <c r="D55" s="39">
        <v>4</v>
      </c>
      <c r="E55" s="40">
        <v>110</v>
      </c>
      <c r="F55" s="24">
        <v>171771</v>
      </c>
    </row>
    <row r="56" spans="1:7" hidden="1" x14ac:dyDescent="0.2">
      <c r="A56" s="37">
        <v>2024</v>
      </c>
      <c r="B56" s="38" t="s">
        <v>89</v>
      </c>
      <c r="C56" s="38" t="s">
        <v>95</v>
      </c>
      <c r="D56" s="39">
        <v>5</v>
      </c>
      <c r="E56" s="40">
        <v>74</v>
      </c>
      <c r="F56" s="24">
        <v>170872</v>
      </c>
    </row>
    <row r="57" spans="1:7" hidden="1" x14ac:dyDescent="0.2">
      <c r="A57" s="37">
        <v>2024</v>
      </c>
      <c r="B57" s="38" t="s">
        <v>89</v>
      </c>
      <c r="C57" s="38" t="s">
        <v>95</v>
      </c>
      <c r="D57" s="39">
        <v>6</v>
      </c>
      <c r="E57" s="40">
        <v>91</v>
      </c>
      <c r="F57" s="24">
        <v>173814</v>
      </c>
    </row>
    <row r="58" spans="1:7" hidden="1" x14ac:dyDescent="0.2">
      <c r="A58" s="37">
        <v>2024</v>
      </c>
      <c r="B58" s="38" t="s">
        <v>89</v>
      </c>
      <c r="C58" s="38" t="s">
        <v>95</v>
      </c>
      <c r="D58" s="39">
        <v>7</v>
      </c>
      <c r="E58" s="40">
        <v>70</v>
      </c>
      <c r="F58" s="24">
        <v>167173</v>
      </c>
    </row>
    <row r="59" spans="1:7" hidden="1" x14ac:dyDescent="0.2">
      <c r="A59" s="37">
        <v>2024</v>
      </c>
      <c r="B59" s="38" t="s">
        <v>89</v>
      </c>
      <c r="C59" s="38" t="s">
        <v>95</v>
      </c>
      <c r="D59" s="39">
        <v>8</v>
      </c>
      <c r="E59" s="40">
        <v>52</v>
      </c>
      <c r="F59" s="24">
        <v>169233</v>
      </c>
    </row>
    <row r="60" spans="1:7" hidden="1" x14ac:dyDescent="0.2">
      <c r="A60" s="37">
        <v>2024</v>
      </c>
      <c r="B60" s="38" t="s">
        <v>89</v>
      </c>
      <c r="C60" s="38" t="s">
        <v>95</v>
      </c>
      <c r="D60" s="39">
        <v>9</v>
      </c>
      <c r="E60" s="40">
        <v>48</v>
      </c>
      <c r="F60" s="24">
        <v>146972</v>
      </c>
    </row>
    <row r="61" spans="1:7" hidden="1" x14ac:dyDescent="0.2">
      <c r="A61" s="37">
        <v>2024</v>
      </c>
      <c r="B61" s="38" t="s">
        <v>89</v>
      </c>
      <c r="C61" s="38" t="s">
        <v>95</v>
      </c>
      <c r="D61" s="39">
        <v>10</v>
      </c>
      <c r="E61" s="40">
        <v>52</v>
      </c>
      <c r="F61" s="24">
        <v>148924</v>
      </c>
    </row>
    <row r="62" spans="1:7" x14ac:dyDescent="0.2">
      <c r="A62" s="37">
        <v>2024</v>
      </c>
      <c r="B62" s="38" t="s">
        <v>89</v>
      </c>
      <c r="C62" s="38" t="s">
        <v>95</v>
      </c>
      <c r="D62" s="39">
        <v>1</v>
      </c>
      <c r="E62" s="40">
        <v>144</v>
      </c>
      <c r="F62" s="24">
        <f>'Populations decile 1'!E62</f>
        <v>213956</v>
      </c>
      <c r="G62">
        <f>E62/F62</f>
        <v>6.7303557740843909E-4</v>
      </c>
    </row>
    <row r="63" spans="1:7" hidden="1" x14ac:dyDescent="0.2">
      <c r="A63" s="37">
        <v>2024</v>
      </c>
      <c r="B63" s="38" t="s">
        <v>89</v>
      </c>
      <c r="C63" s="38" t="s">
        <v>96</v>
      </c>
      <c r="D63" s="39">
        <v>2</v>
      </c>
      <c r="E63" s="40">
        <v>145</v>
      </c>
      <c r="F63" s="24">
        <v>118806</v>
      </c>
    </row>
    <row r="64" spans="1:7" hidden="1" x14ac:dyDescent="0.2">
      <c r="A64" s="37">
        <v>2024</v>
      </c>
      <c r="B64" s="38" t="s">
        <v>89</v>
      </c>
      <c r="C64" s="38" t="s">
        <v>96</v>
      </c>
      <c r="D64" s="39">
        <v>3</v>
      </c>
      <c r="E64" s="40">
        <v>133</v>
      </c>
      <c r="F64" s="24">
        <v>88224</v>
      </c>
    </row>
    <row r="65" spans="1:7" hidden="1" x14ac:dyDescent="0.2">
      <c r="A65" s="37">
        <v>2024</v>
      </c>
      <c r="B65" s="38" t="s">
        <v>89</v>
      </c>
      <c r="C65" s="38" t="s">
        <v>96</v>
      </c>
      <c r="D65" s="39">
        <v>4</v>
      </c>
      <c r="E65" s="40">
        <v>124</v>
      </c>
      <c r="F65" s="24">
        <v>93690</v>
      </c>
    </row>
    <row r="66" spans="1:7" hidden="1" x14ac:dyDescent="0.2">
      <c r="A66" s="37">
        <v>2024</v>
      </c>
      <c r="B66" s="38" t="s">
        <v>89</v>
      </c>
      <c r="C66" s="38" t="s">
        <v>96</v>
      </c>
      <c r="D66" s="39">
        <v>5</v>
      </c>
      <c r="E66" s="40">
        <v>109</v>
      </c>
      <c r="F66" s="24">
        <v>66001</v>
      </c>
    </row>
    <row r="67" spans="1:7" hidden="1" x14ac:dyDescent="0.2">
      <c r="A67" s="37">
        <v>2024</v>
      </c>
      <c r="B67" s="38" t="s">
        <v>89</v>
      </c>
      <c r="C67" s="38" t="s">
        <v>96</v>
      </c>
      <c r="D67" s="39">
        <v>6</v>
      </c>
      <c r="E67" s="40">
        <v>102</v>
      </c>
      <c r="F67" s="24">
        <v>77938</v>
      </c>
    </row>
    <row r="68" spans="1:7" hidden="1" x14ac:dyDescent="0.2">
      <c r="A68" s="37">
        <v>2024</v>
      </c>
      <c r="B68" s="38" t="s">
        <v>89</v>
      </c>
      <c r="C68" s="38" t="s">
        <v>96</v>
      </c>
      <c r="D68" s="39">
        <v>7</v>
      </c>
      <c r="E68" s="40">
        <v>89</v>
      </c>
      <c r="F68" s="24">
        <v>35605</v>
      </c>
    </row>
    <row r="69" spans="1:7" hidden="1" x14ac:dyDescent="0.2">
      <c r="A69" s="37">
        <v>2024</v>
      </c>
      <c r="B69" s="38" t="s">
        <v>89</v>
      </c>
      <c r="C69" s="38" t="s">
        <v>96</v>
      </c>
      <c r="D69" s="39">
        <v>8</v>
      </c>
      <c r="E69" s="40">
        <v>77</v>
      </c>
      <c r="F69" s="24">
        <v>49917</v>
      </c>
    </row>
    <row r="70" spans="1:7" hidden="1" x14ac:dyDescent="0.2">
      <c r="A70" s="37">
        <v>2024</v>
      </c>
      <c r="B70" s="38" t="s">
        <v>89</v>
      </c>
      <c r="C70" s="38" t="s">
        <v>96</v>
      </c>
      <c r="D70" s="39">
        <v>9</v>
      </c>
      <c r="E70" s="40">
        <v>72</v>
      </c>
      <c r="F70" s="24">
        <v>17738</v>
      </c>
    </row>
    <row r="71" spans="1:7" hidden="1" x14ac:dyDescent="0.2">
      <c r="A71" s="37">
        <v>2024</v>
      </c>
      <c r="B71" s="38" t="s">
        <v>89</v>
      </c>
      <c r="C71" s="38" t="s">
        <v>96</v>
      </c>
      <c r="D71" s="39">
        <v>10</v>
      </c>
      <c r="E71" s="40">
        <v>58</v>
      </c>
      <c r="F71" s="24">
        <v>31247</v>
      </c>
    </row>
    <row r="72" spans="1:7" x14ac:dyDescent="0.2">
      <c r="A72" s="37">
        <v>2024</v>
      </c>
      <c r="B72" s="38" t="s">
        <v>110</v>
      </c>
      <c r="C72" s="38" t="s">
        <v>95</v>
      </c>
      <c r="D72" s="39">
        <v>1</v>
      </c>
      <c r="E72" s="40">
        <v>67</v>
      </c>
      <c r="F72" s="24">
        <f>'Populations decile 1'!E72</f>
        <v>201724</v>
      </c>
      <c r="G72">
        <f>E72/F72</f>
        <v>3.3213697923896018E-4</v>
      </c>
    </row>
    <row r="73" spans="1:7" hidden="1" x14ac:dyDescent="0.2">
      <c r="A73" s="37">
        <v>2024</v>
      </c>
      <c r="B73" s="38" t="s">
        <v>89</v>
      </c>
      <c r="C73" s="38" t="s">
        <v>97</v>
      </c>
      <c r="D73" s="39">
        <v>2</v>
      </c>
      <c r="E73" s="40">
        <v>216</v>
      </c>
      <c r="F73" s="24">
        <v>20939</v>
      </c>
    </row>
    <row r="74" spans="1:7" hidden="1" x14ac:dyDescent="0.2">
      <c r="A74" s="37">
        <v>2024</v>
      </c>
      <c r="B74" s="38" t="s">
        <v>89</v>
      </c>
      <c r="C74" s="38" t="s">
        <v>97</v>
      </c>
      <c r="D74" s="39">
        <v>3</v>
      </c>
      <c r="E74" s="40">
        <v>215</v>
      </c>
    </row>
    <row r="75" spans="1:7" hidden="1" x14ac:dyDescent="0.2">
      <c r="A75" s="37">
        <v>2024</v>
      </c>
      <c r="B75" s="38" t="s">
        <v>89</v>
      </c>
      <c r="C75" s="38" t="s">
        <v>97</v>
      </c>
      <c r="D75" s="39">
        <v>4</v>
      </c>
      <c r="E75" s="40">
        <v>166</v>
      </c>
    </row>
    <row r="76" spans="1:7" hidden="1" x14ac:dyDescent="0.2">
      <c r="A76" s="37">
        <v>2024</v>
      </c>
      <c r="B76" s="38" t="s">
        <v>89</v>
      </c>
      <c r="C76" s="38" t="s">
        <v>97</v>
      </c>
      <c r="D76" s="39">
        <v>5</v>
      </c>
      <c r="E76" s="40">
        <v>154</v>
      </c>
    </row>
    <row r="77" spans="1:7" hidden="1" x14ac:dyDescent="0.2">
      <c r="A77" s="37">
        <v>2024</v>
      </c>
      <c r="B77" s="38" t="s">
        <v>89</v>
      </c>
      <c r="C77" s="38" t="s">
        <v>97</v>
      </c>
      <c r="D77" s="39">
        <v>6</v>
      </c>
      <c r="E77" s="40">
        <v>125</v>
      </c>
    </row>
    <row r="78" spans="1:7" hidden="1" x14ac:dyDescent="0.2">
      <c r="A78" s="37">
        <v>2024</v>
      </c>
      <c r="B78" s="38" t="s">
        <v>89</v>
      </c>
      <c r="C78" s="38" t="s">
        <v>97</v>
      </c>
      <c r="D78" s="39">
        <v>7</v>
      </c>
      <c r="E78" s="40">
        <v>123</v>
      </c>
    </row>
    <row r="79" spans="1:7" hidden="1" x14ac:dyDescent="0.2">
      <c r="A79" s="37">
        <v>2024</v>
      </c>
      <c r="B79" s="38" t="s">
        <v>89</v>
      </c>
      <c r="C79" s="38" t="s">
        <v>97</v>
      </c>
      <c r="D79" s="39">
        <v>8</v>
      </c>
      <c r="E79" s="40">
        <v>105</v>
      </c>
    </row>
    <row r="80" spans="1:7" hidden="1" x14ac:dyDescent="0.2">
      <c r="A80" s="37">
        <v>2024</v>
      </c>
      <c r="B80" s="38" t="s">
        <v>89</v>
      </c>
      <c r="C80" s="38" t="s">
        <v>97</v>
      </c>
      <c r="D80" s="39">
        <v>9</v>
      </c>
      <c r="E80" s="40">
        <v>95</v>
      </c>
    </row>
    <row r="81" spans="1:7" hidden="1" x14ac:dyDescent="0.2">
      <c r="A81" s="37">
        <v>2024</v>
      </c>
      <c r="B81" s="38" t="s">
        <v>89</v>
      </c>
      <c r="C81" s="38" t="s">
        <v>97</v>
      </c>
      <c r="D81" s="39">
        <v>10</v>
      </c>
      <c r="E81" s="40">
        <v>68</v>
      </c>
    </row>
    <row r="82" spans="1:7" x14ac:dyDescent="0.2">
      <c r="A82" s="37">
        <v>2024</v>
      </c>
      <c r="B82" s="38" t="s">
        <v>89</v>
      </c>
      <c r="C82" s="38" t="s">
        <v>96</v>
      </c>
      <c r="D82" s="39">
        <v>1</v>
      </c>
      <c r="E82" s="40">
        <v>187</v>
      </c>
      <c r="F82" s="24">
        <f>'Populations decile 1'!E82</f>
        <v>214810</v>
      </c>
      <c r="G82">
        <f>E82/F82</f>
        <v>8.705367534099902E-4</v>
      </c>
    </row>
    <row r="83" spans="1:7" hidden="1" x14ac:dyDescent="0.2">
      <c r="A83" s="37">
        <v>2024</v>
      </c>
      <c r="B83" s="38" t="s">
        <v>89</v>
      </c>
      <c r="C83" s="38" t="s">
        <v>98</v>
      </c>
      <c r="D83" s="39">
        <v>2</v>
      </c>
      <c r="E83" s="40">
        <v>346</v>
      </c>
    </row>
    <row r="84" spans="1:7" hidden="1" x14ac:dyDescent="0.2">
      <c r="A84" s="37">
        <v>2024</v>
      </c>
      <c r="B84" s="38" t="s">
        <v>89</v>
      </c>
      <c r="C84" s="38" t="s">
        <v>98</v>
      </c>
      <c r="D84" s="39">
        <v>3</v>
      </c>
      <c r="E84" s="40">
        <v>296</v>
      </c>
    </row>
    <row r="85" spans="1:7" hidden="1" x14ac:dyDescent="0.2">
      <c r="A85" s="37">
        <v>2024</v>
      </c>
      <c r="B85" s="38" t="s">
        <v>89</v>
      </c>
      <c r="C85" s="38" t="s">
        <v>98</v>
      </c>
      <c r="D85" s="39">
        <v>4</v>
      </c>
      <c r="E85" s="40">
        <v>259</v>
      </c>
    </row>
    <row r="86" spans="1:7" hidden="1" x14ac:dyDescent="0.2">
      <c r="A86" s="37">
        <v>2024</v>
      </c>
      <c r="B86" s="38" t="s">
        <v>89</v>
      </c>
      <c r="C86" s="38" t="s">
        <v>98</v>
      </c>
      <c r="D86" s="39">
        <v>5</v>
      </c>
      <c r="E86" s="40">
        <v>209</v>
      </c>
    </row>
    <row r="87" spans="1:7" hidden="1" x14ac:dyDescent="0.2">
      <c r="A87" s="37">
        <v>2024</v>
      </c>
      <c r="B87" s="38" t="s">
        <v>89</v>
      </c>
      <c r="C87" s="38" t="s">
        <v>98</v>
      </c>
      <c r="D87" s="39">
        <v>6</v>
      </c>
      <c r="E87" s="40">
        <v>190</v>
      </c>
    </row>
    <row r="88" spans="1:7" hidden="1" x14ac:dyDescent="0.2">
      <c r="A88" s="37">
        <v>2024</v>
      </c>
      <c r="B88" s="38" t="s">
        <v>89</v>
      </c>
      <c r="C88" s="38" t="s">
        <v>98</v>
      </c>
      <c r="D88" s="39">
        <v>7</v>
      </c>
      <c r="E88" s="40">
        <v>174</v>
      </c>
    </row>
    <row r="89" spans="1:7" hidden="1" x14ac:dyDescent="0.2">
      <c r="A89" s="37">
        <v>2024</v>
      </c>
      <c r="B89" s="38" t="s">
        <v>89</v>
      </c>
      <c r="C89" s="38" t="s">
        <v>98</v>
      </c>
      <c r="D89" s="39">
        <v>8</v>
      </c>
      <c r="E89" s="40">
        <v>149</v>
      </c>
    </row>
    <row r="90" spans="1:7" hidden="1" x14ac:dyDescent="0.2">
      <c r="A90" s="37">
        <v>2024</v>
      </c>
      <c r="B90" s="38" t="s">
        <v>89</v>
      </c>
      <c r="C90" s="38" t="s">
        <v>98</v>
      </c>
      <c r="D90" s="39">
        <v>9</v>
      </c>
      <c r="E90" s="40">
        <v>134</v>
      </c>
    </row>
    <row r="91" spans="1:7" hidden="1" x14ac:dyDescent="0.2">
      <c r="A91" s="37">
        <v>2024</v>
      </c>
      <c r="B91" s="38" t="s">
        <v>89</v>
      </c>
      <c r="C91" s="38" t="s">
        <v>98</v>
      </c>
      <c r="D91" s="39">
        <v>10</v>
      </c>
      <c r="E91" s="40">
        <v>96</v>
      </c>
    </row>
    <row r="92" spans="1:7" x14ac:dyDescent="0.2">
      <c r="A92" s="37">
        <v>2024</v>
      </c>
      <c r="B92" s="38" t="s">
        <v>110</v>
      </c>
      <c r="C92" s="38" t="s">
        <v>96</v>
      </c>
      <c r="D92" s="39">
        <v>1</v>
      </c>
      <c r="E92" s="40">
        <v>94</v>
      </c>
      <c r="F92" s="24">
        <f>'Populations decile 1'!E92</f>
        <v>225382</v>
      </c>
      <c r="G92">
        <f>E92/F92</f>
        <v>4.1706968613287664E-4</v>
      </c>
    </row>
    <row r="93" spans="1:7" hidden="1" x14ac:dyDescent="0.2">
      <c r="A93" s="37">
        <v>2024</v>
      </c>
      <c r="B93" s="38" t="s">
        <v>89</v>
      </c>
      <c r="C93" s="38" t="s">
        <v>99</v>
      </c>
      <c r="D93" s="39">
        <v>2</v>
      </c>
      <c r="E93" s="40">
        <v>509</v>
      </c>
    </row>
    <row r="94" spans="1:7" hidden="1" x14ac:dyDescent="0.2">
      <c r="A94" s="37">
        <v>2024</v>
      </c>
      <c r="B94" s="38" t="s">
        <v>89</v>
      </c>
      <c r="C94" s="38" t="s">
        <v>99</v>
      </c>
      <c r="D94" s="39">
        <v>3</v>
      </c>
      <c r="E94" s="40">
        <v>432</v>
      </c>
    </row>
    <row r="95" spans="1:7" hidden="1" x14ac:dyDescent="0.2">
      <c r="A95" s="37">
        <v>2024</v>
      </c>
      <c r="B95" s="38" t="s">
        <v>89</v>
      </c>
      <c r="C95" s="38" t="s">
        <v>99</v>
      </c>
      <c r="D95" s="39">
        <v>4</v>
      </c>
      <c r="E95" s="40">
        <v>370</v>
      </c>
    </row>
    <row r="96" spans="1:7" hidden="1" x14ac:dyDescent="0.2">
      <c r="A96" s="37">
        <v>2024</v>
      </c>
      <c r="B96" s="38" t="s">
        <v>89</v>
      </c>
      <c r="C96" s="38" t="s">
        <v>99</v>
      </c>
      <c r="D96" s="39">
        <v>5</v>
      </c>
      <c r="E96" s="40">
        <v>314</v>
      </c>
    </row>
    <row r="97" spans="1:7" hidden="1" x14ac:dyDescent="0.2">
      <c r="A97" s="37">
        <v>2024</v>
      </c>
      <c r="B97" s="38" t="s">
        <v>89</v>
      </c>
      <c r="C97" s="38" t="s">
        <v>99</v>
      </c>
      <c r="D97" s="39">
        <v>6</v>
      </c>
      <c r="E97" s="40">
        <v>251</v>
      </c>
    </row>
    <row r="98" spans="1:7" hidden="1" x14ac:dyDescent="0.2">
      <c r="A98" s="37">
        <v>2024</v>
      </c>
      <c r="B98" s="38" t="s">
        <v>89</v>
      </c>
      <c r="C98" s="38" t="s">
        <v>99</v>
      </c>
      <c r="D98" s="39">
        <v>7</v>
      </c>
      <c r="E98" s="40">
        <v>225</v>
      </c>
    </row>
    <row r="99" spans="1:7" hidden="1" x14ac:dyDescent="0.2">
      <c r="A99" s="37">
        <v>2024</v>
      </c>
      <c r="B99" s="38" t="s">
        <v>89</v>
      </c>
      <c r="C99" s="38" t="s">
        <v>99</v>
      </c>
      <c r="D99" s="39">
        <v>8</v>
      </c>
      <c r="E99" s="40">
        <v>231</v>
      </c>
    </row>
    <row r="100" spans="1:7" hidden="1" x14ac:dyDescent="0.2">
      <c r="A100" s="37">
        <v>2024</v>
      </c>
      <c r="B100" s="38" t="s">
        <v>89</v>
      </c>
      <c r="C100" s="38" t="s">
        <v>99</v>
      </c>
      <c r="D100" s="39">
        <v>9</v>
      </c>
      <c r="E100" s="40">
        <v>194</v>
      </c>
    </row>
    <row r="101" spans="1:7" hidden="1" x14ac:dyDescent="0.2">
      <c r="A101" s="37">
        <v>2024</v>
      </c>
      <c r="B101" s="38" t="s">
        <v>89</v>
      </c>
      <c r="C101" s="38" t="s">
        <v>99</v>
      </c>
      <c r="D101" s="39">
        <v>10</v>
      </c>
      <c r="E101" s="40">
        <v>107</v>
      </c>
    </row>
    <row r="102" spans="1:7" x14ac:dyDescent="0.2">
      <c r="A102" s="37">
        <v>2024</v>
      </c>
      <c r="B102" s="38" t="s">
        <v>89</v>
      </c>
      <c r="C102" s="38" t="s">
        <v>97</v>
      </c>
      <c r="D102" s="39">
        <v>1</v>
      </c>
      <c r="E102" s="40">
        <v>312</v>
      </c>
      <c r="F102" s="24">
        <f>'Populations decile 1'!E102</f>
        <v>218806</v>
      </c>
      <c r="G102">
        <f>E102/F102</f>
        <v>1.4259206785919947E-3</v>
      </c>
    </row>
    <row r="103" spans="1:7" hidden="1" x14ac:dyDescent="0.2">
      <c r="A103" s="37">
        <v>2024</v>
      </c>
      <c r="B103" s="38" t="s">
        <v>89</v>
      </c>
      <c r="C103" s="38" t="s">
        <v>100</v>
      </c>
      <c r="D103" s="39">
        <v>2</v>
      </c>
      <c r="E103" s="40">
        <v>677</v>
      </c>
    </row>
    <row r="104" spans="1:7" hidden="1" x14ac:dyDescent="0.2">
      <c r="A104" s="37">
        <v>2024</v>
      </c>
      <c r="B104" s="38" t="s">
        <v>89</v>
      </c>
      <c r="C104" s="38" t="s">
        <v>100</v>
      </c>
      <c r="D104" s="39">
        <v>3</v>
      </c>
      <c r="E104" s="40">
        <v>602</v>
      </c>
    </row>
    <row r="105" spans="1:7" hidden="1" x14ac:dyDescent="0.2">
      <c r="A105" s="37">
        <v>2024</v>
      </c>
      <c r="B105" s="38" t="s">
        <v>89</v>
      </c>
      <c r="C105" s="38" t="s">
        <v>100</v>
      </c>
      <c r="D105" s="39">
        <v>4</v>
      </c>
      <c r="E105" s="40">
        <v>498</v>
      </c>
    </row>
    <row r="106" spans="1:7" hidden="1" x14ac:dyDescent="0.2">
      <c r="A106" s="37">
        <v>2024</v>
      </c>
      <c r="B106" s="38" t="s">
        <v>89</v>
      </c>
      <c r="C106" s="38" t="s">
        <v>100</v>
      </c>
      <c r="D106" s="39">
        <v>5</v>
      </c>
      <c r="E106" s="40">
        <v>388</v>
      </c>
    </row>
    <row r="107" spans="1:7" hidden="1" x14ac:dyDescent="0.2">
      <c r="A107" s="37">
        <v>2024</v>
      </c>
      <c r="B107" s="38" t="s">
        <v>89</v>
      </c>
      <c r="C107" s="38" t="s">
        <v>100</v>
      </c>
      <c r="D107" s="39">
        <v>6</v>
      </c>
      <c r="E107" s="40">
        <v>358</v>
      </c>
    </row>
    <row r="108" spans="1:7" hidden="1" x14ac:dyDescent="0.2">
      <c r="A108" s="37">
        <v>2024</v>
      </c>
      <c r="B108" s="38" t="s">
        <v>89</v>
      </c>
      <c r="C108" s="38" t="s">
        <v>100</v>
      </c>
      <c r="D108" s="39">
        <v>7</v>
      </c>
      <c r="E108" s="40">
        <v>311</v>
      </c>
    </row>
    <row r="109" spans="1:7" hidden="1" x14ac:dyDescent="0.2">
      <c r="A109" s="37">
        <v>2024</v>
      </c>
      <c r="B109" s="38" t="s">
        <v>89</v>
      </c>
      <c r="C109" s="38" t="s">
        <v>100</v>
      </c>
      <c r="D109" s="39">
        <v>8</v>
      </c>
      <c r="E109" s="40">
        <v>277</v>
      </c>
    </row>
    <row r="110" spans="1:7" hidden="1" x14ac:dyDescent="0.2">
      <c r="A110" s="37">
        <v>2024</v>
      </c>
      <c r="B110" s="38" t="s">
        <v>89</v>
      </c>
      <c r="C110" s="38" t="s">
        <v>100</v>
      </c>
      <c r="D110" s="39">
        <v>9</v>
      </c>
      <c r="E110" s="40">
        <v>252</v>
      </c>
    </row>
    <row r="111" spans="1:7" hidden="1" x14ac:dyDescent="0.2">
      <c r="A111" s="37">
        <v>2024</v>
      </c>
      <c r="B111" s="38" t="s">
        <v>89</v>
      </c>
      <c r="C111" s="38" t="s">
        <v>100</v>
      </c>
      <c r="D111" s="39">
        <v>10</v>
      </c>
      <c r="E111" s="40">
        <v>226</v>
      </c>
    </row>
    <row r="112" spans="1:7" x14ac:dyDescent="0.2">
      <c r="A112" s="37">
        <v>2024</v>
      </c>
      <c r="B112" s="38" t="s">
        <v>110</v>
      </c>
      <c r="C112" s="38" t="s">
        <v>97</v>
      </c>
      <c r="D112" s="39">
        <v>1</v>
      </c>
      <c r="E112" s="40">
        <v>177</v>
      </c>
      <c r="F112" s="24">
        <f>'Populations decile 1'!E112</f>
        <v>239675</v>
      </c>
      <c r="G112">
        <f>E112/F112</f>
        <v>7.3850005215395846E-4</v>
      </c>
    </row>
    <row r="113" spans="1:7" hidden="1" x14ac:dyDescent="0.2">
      <c r="A113" s="37">
        <v>2024</v>
      </c>
      <c r="B113" s="38" t="s">
        <v>89</v>
      </c>
      <c r="C113" s="38" t="s">
        <v>101</v>
      </c>
      <c r="D113" s="39">
        <v>2</v>
      </c>
      <c r="E113" s="40">
        <v>1035</v>
      </c>
    </row>
    <row r="114" spans="1:7" hidden="1" x14ac:dyDescent="0.2">
      <c r="A114" s="37">
        <v>2024</v>
      </c>
      <c r="B114" s="38" t="s">
        <v>89</v>
      </c>
      <c r="C114" s="38" t="s">
        <v>101</v>
      </c>
      <c r="D114" s="39">
        <v>3</v>
      </c>
      <c r="E114" s="40">
        <v>947</v>
      </c>
    </row>
    <row r="115" spans="1:7" hidden="1" x14ac:dyDescent="0.2">
      <c r="A115" s="37">
        <v>2024</v>
      </c>
      <c r="B115" s="38" t="s">
        <v>89</v>
      </c>
      <c r="C115" s="38" t="s">
        <v>101</v>
      </c>
      <c r="D115" s="39">
        <v>4</v>
      </c>
      <c r="E115" s="40">
        <v>792</v>
      </c>
    </row>
    <row r="116" spans="1:7" hidden="1" x14ac:dyDescent="0.2">
      <c r="A116" s="37">
        <v>2024</v>
      </c>
      <c r="B116" s="38" t="s">
        <v>89</v>
      </c>
      <c r="C116" s="38" t="s">
        <v>101</v>
      </c>
      <c r="D116" s="39">
        <v>5</v>
      </c>
      <c r="E116" s="40">
        <v>680</v>
      </c>
    </row>
    <row r="117" spans="1:7" hidden="1" x14ac:dyDescent="0.2">
      <c r="A117" s="37">
        <v>2024</v>
      </c>
      <c r="B117" s="38" t="s">
        <v>89</v>
      </c>
      <c r="C117" s="38" t="s">
        <v>101</v>
      </c>
      <c r="D117" s="39">
        <v>6</v>
      </c>
      <c r="E117" s="40">
        <v>612</v>
      </c>
    </row>
    <row r="118" spans="1:7" hidden="1" x14ac:dyDescent="0.2">
      <c r="A118" s="37">
        <v>2024</v>
      </c>
      <c r="B118" s="38" t="s">
        <v>89</v>
      </c>
      <c r="C118" s="38" t="s">
        <v>101</v>
      </c>
      <c r="D118" s="39">
        <v>7</v>
      </c>
      <c r="E118" s="40">
        <v>545</v>
      </c>
    </row>
    <row r="119" spans="1:7" hidden="1" x14ac:dyDescent="0.2">
      <c r="A119" s="37">
        <v>2024</v>
      </c>
      <c r="B119" s="38" t="s">
        <v>89</v>
      </c>
      <c r="C119" s="38" t="s">
        <v>101</v>
      </c>
      <c r="D119" s="39">
        <v>8</v>
      </c>
      <c r="E119" s="40">
        <v>493</v>
      </c>
    </row>
    <row r="120" spans="1:7" hidden="1" x14ac:dyDescent="0.2">
      <c r="A120" s="37">
        <v>2024</v>
      </c>
      <c r="B120" s="38" t="s">
        <v>89</v>
      </c>
      <c r="C120" s="38" t="s">
        <v>101</v>
      </c>
      <c r="D120" s="39">
        <v>9</v>
      </c>
      <c r="E120" s="40">
        <v>498</v>
      </c>
    </row>
    <row r="121" spans="1:7" hidden="1" x14ac:dyDescent="0.2">
      <c r="A121" s="37">
        <v>2024</v>
      </c>
      <c r="B121" s="38" t="s">
        <v>89</v>
      </c>
      <c r="C121" s="38" t="s">
        <v>101</v>
      </c>
      <c r="D121" s="39">
        <v>10</v>
      </c>
      <c r="E121" s="40">
        <v>351</v>
      </c>
    </row>
    <row r="122" spans="1:7" x14ac:dyDescent="0.2">
      <c r="A122" s="37">
        <v>2024</v>
      </c>
      <c r="B122" s="38" t="s">
        <v>89</v>
      </c>
      <c r="C122" s="38" t="s">
        <v>98</v>
      </c>
      <c r="D122" s="39">
        <v>1</v>
      </c>
      <c r="E122" s="40">
        <v>484</v>
      </c>
      <c r="F122" s="24">
        <f>'Populations decile 1'!E122</f>
        <v>212976</v>
      </c>
      <c r="G122">
        <f>E122/F122</f>
        <v>2.2725565321914205E-3</v>
      </c>
    </row>
    <row r="123" spans="1:7" hidden="1" x14ac:dyDescent="0.2">
      <c r="A123" s="37">
        <v>2024</v>
      </c>
      <c r="B123" s="38" t="s">
        <v>89</v>
      </c>
      <c r="C123" s="38" t="s">
        <v>102</v>
      </c>
      <c r="D123" s="39">
        <v>2</v>
      </c>
      <c r="E123" s="40">
        <v>1605</v>
      </c>
    </row>
    <row r="124" spans="1:7" hidden="1" x14ac:dyDescent="0.2">
      <c r="A124" s="37">
        <v>2024</v>
      </c>
      <c r="B124" s="38" t="s">
        <v>89</v>
      </c>
      <c r="C124" s="38" t="s">
        <v>102</v>
      </c>
      <c r="D124" s="39">
        <v>3</v>
      </c>
      <c r="E124" s="40">
        <v>1363</v>
      </c>
    </row>
    <row r="125" spans="1:7" hidden="1" x14ac:dyDescent="0.2">
      <c r="A125" s="37">
        <v>2024</v>
      </c>
      <c r="B125" s="38" t="s">
        <v>89</v>
      </c>
      <c r="C125" s="38" t="s">
        <v>102</v>
      </c>
      <c r="D125" s="39">
        <v>4</v>
      </c>
      <c r="E125" s="40">
        <v>1207</v>
      </c>
    </row>
    <row r="126" spans="1:7" hidden="1" x14ac:dyDescent="0.2">
      <c r="A126" s="37">
        <v>2024</v>
      </c>
      <c r="B126" s="38" t="s">
        <v>89</v>
      </c>
      <c r="C126" s="38" t="s">
        <v>102</v>
      </c>
      <c r="D126" s="39">
        <v>5</v>
      </c>
      <c r="E126" s="40">
        <v>1150</v>
      </c>
    </row>
    <row r="127" spans="1:7" hidden="1" x14ac:dyDescent="0.2">
      <c r="A127" s="37">
        <v>2024</v>
      </c>
      <c r="B127" s="38" t="s">
        <v>89</v>
      </c>
      <c r="C127" s="38" t="s">
        <v>102</v>
      </c>
      <c r="D127" s="39">
        <v>6</v>
      </c>
      <c r="E127" s="40">
        <v>991</v>
      </c>
    </row>
    <row r="128" spans="1:7" hidden="1" x14ac:dyDescent="0.2">
      <c r="A128" s="37">
        <v>2024</v>
      </c>
      <c r="B128" s="38" t="s">
        <v>89</v>
      </c>
      <c r="C128" s="38" t="s">
        <v>102</v>
      </c>
      <c r="D128" s="39">
        <v>7</v>
      </c>
      <c r="E128" s="40">
        <v>932</v>
      </c>
    </row>
    <row r="129" spans="1:7" hidden="1" x14ac:dyDescent="0.2">
      <c r="A129" s="37">
        <v>2024</v>
      </c>
      <c r="B129" s="38" t="s">
        <v>89</v>
      </c>
      <c r="C129" s="38" t="s">
        <v>102</v>
      </c>
      <c r="D129" s="39">
        <v>8</v>
      </c>
      <c r="E129" s="40">
        <v>804</v>
      </c>
    </row>
    <row r="130" spans="1:7" hidden="1" x14ac:dyDescent="0.2">
      <c r="A130" s="37">
        <v>2024</v>
      </c>
      <c r="B130" s="38" t="s">
        <v>89</v>
      </c>
      <c r="C130" s="38" t="s">
        <v>102</v>
      </c>
      <c r="D130" s="39">
        <v>9</v>
      </c>
      <c r="E130" s="40">
        <v>772</v>
      </c>
    </row>
    <row r="131" spans="1:7" hidden="1" x14ac:dyDescent="0.2">
      <c r="A131" s="37">
        <v>2024</v>
      </c>
      <c r="B131" s="38" t="s">
        <v>89</v>
      </c>
      <c r="C131" s="38" t="s">
        <v>102</v>
      </c>
      <c r="D131" s="39">
        <v>10</v>
      </c>
      <c r="E131" s="40">
        <v>626</v>
      </c>
    </row>
    <row r="132" spans="1:7" x14ac:dyDescent="0.2">
      <c r="A132" s="37">
        <v>2024</v>
      </c>
      <c r="B132" s="38" t="s">
        <v>110</v>
      </c>
      <c r="C132" s="38" t="s">
        <v>98</v>
      </c>
      <c r="D132" s="39">
        <v>1</v>
      </c>
      <c r="E132" s="40">
        <v>274</v>
      </c>
      <c r="F132" s="24">
        <f>'Populations decile 1'!E132</f>
        <v>238057</v>
      </c>
      <c r="G132">
        <f>E132/F132</f>
        <v>1.1509848481666156E-3</v>
      </c>
    </row>
    <row r="133" spans="1:7" hidden="1" x14ac:dyDescent="0.2">
      <c r="A133" s="37">
        <v>2024</v>
      </c>
      <c r="B133" s="38" t="s">
        <v>89</v>
      </c>
      <c r="C133" s="38" t="s">
        <v>103</v>
      </c>
      <c r="D133" s="39">
        <v>2</v>
      </c>
      <c r="E133" s="40">
        <v>2064</v>
      </c>
    </row>
    <row r="134" spans="1:7" hidden="1" x14ac:dyDescent="0.2">
      <c r="A134" s="37">
        <v>2024</v>
      </c>
      <c r="B134" s="38" t="s">
        <v>89</v>
      </c>
      <c r="C134" s="38" t="s">
        <v>103</v>
      </c>
      <c r="D134" s="39">
        <v>3</v>
      </c>
      <c r="E134" s="40">
        <v>1826</v>
      </c>
    </row>
    <row r="135" spans="1:7" hidden="1" x14ac:dyDescent="0.2">
      <c r="A135" s="37">
        <v>2024</v>
      </c>
      <c r="B135" s="38" t="s">
        <v>89</v>
      </c>
      <c r="C135" s="38" t="s">
        <v>103</v>
      </c>
      <c r="D135" s="39">
        <v>4</v>
      </c>
      <c r="E135" s="40">
        <v>1657</v>
      </c>
    </row>
    <row r="136" spans="1:7" hidden="1" x14ac:dyDescent="0.2">
      <c r="A136" s="37">
        <v>2024</v>
      </c>
      <c r="B136" s="38" t="s">
        <v>89</v>
      </c>
      <c r="C136" s="38" t="s">
        <v>103</v>
      </c>
      <c r="D136" s="39">
        <v>5</v>
      </c>
      <c r="E136" s="40">
        <v>1517</v>
      </c>
    </row>
    <row r="137" spans="1:7" hidden="1" x14ac:dyDescent="0.2">
      <c r="A137" s="37">
        <v>2024</v>
      </c>
      <c r="B137" s="38" t="s">
        <v>89</v>
      </c>
      <c r="C137" s="38" t="s">
        <v>103</v>
      </c>
      <c r="D137" s="39">
        <v>6</v>
      </c>
      <c r="E137" s="40">
        <v>1416</v>
      </c>
    </row>
    <row r="138" spans="1:7" hidden="1" x14ac:dyDescent="0.2">
      <c r="A138" s="37">
        <v>2024</v>
      </c>
      <c r="B138" s="38" t="s">
        <v>89</v>
      </c>
      <c r="C138" s="38" t="s">
        <v>103</v>
      </c>
      <c r="D138" s="39">
        <v>7</v>
      </c>
      <c r="E138" s="40">
        <v>1226</v>
      </c>
    </row>
    <row r="139" spans="1:7" hidden="1" x14ac:dyDescent="0.2">
      <c r="A139" s="37">
        <v>2024</v>
      </c>
      <c r="B139" s="38" t="s">
        <v>89</v>
      </c>
      <c r="C139" s="38" t="s">
        <v>103</v>
      </c>
      <c r="D139" s="39">
        <v>8</v>
      </c>
      <c r="E139" s="40">
        <v>1116</v>
      </c>
    </row>
    <row r="140" spans="1:7" hidden="1" x14ac:dyDescent="0.2">
      <c r="A140" s="37">
        <v>2024</v>
      </c>
      <c r="B140" s="38" t="s">
        <v>89</v>
      </c>
      <c r="C140" s="38" t="s">
        <v>103</v>
      </c>
      <c r="D140" s="39">
        <v>9</v>
      </c>
      <c r="E140" s="40">
        <v>1010</v>
      </c>
    </row>
    <row r="141" spans="1:7" hidden="1" x14ac:dyDescent="0.2">
      <c r="A141" s="37">
        <v>2024</v>
      </c>
      <c r="B141" s="38" t="s">
        <v>89</v>
      </c>
      <c r="C141" s="38" t="s">
        <v>103</v>
      </c>
      <c r="D141" s="39">
        <v>10</v>
      </c>
      <c r="E141" s="40">
        <v>936</v>
      </c>
    </row>
    <row r="142" spans="1:7" x14ac:dyDescent="0.2">
      <c r="A142" s="37">
        <v>2024</v>
      </c>
      <c r="B142" s="38" t="s">
        <v>89</v>
      </c>
      <c r="C142" s="38" t="s">
        <v>99</v>
      </c>
      <c r="D142" s="39">
        <v>1</v>
      </c>
      <c r="E142" s="40">
        <v>656</v>
      </c>
      <c r="F142" s="24">
        <f>'Populations decile 1'!E142</f>
        <v>194226</v>
      </c>
      <c r="G142">
        <f>E142/F142</f>
        <v>3.377508675460546E-3</v>
      </c>
    </row>
    <row r="143" spans="1:7" hidden="1" x14ac:dyDescent="0.2">
      <c r="A143" s="37">
        <v>2024</v>
      </c>
      <c r="B143" s="38" t="s">
        <v>89</v>
      </c>
      <c r="C143" s="38" t="s">
        <v>104</v>
      </c>
      <c r="D143" s="39">
        <v>2</v>
      </c>
      <c r="E143" s="40">
        <v>2562</v>
      </c>
    </row>
    <row r="144" spans="1:7" hidden="1" x14ac:dyDescent="0.2">
      <c r="A144" s="37">
        <v>2024</v>
      </c>
      <c r="B144" s="38" t="s">
        <v>89</v>
      </c>
      <c r="C144" s="38" t="s">
        <v>104</v>
      </c>
      <c r="D144" s="39">
        <v>3</v>
      </c>
      <c r="E144" s="40">
        <v>2308</v>
      </c>
    </row>
    <row r="145" spans="1:7" hidden="1" x14ac:dyDescent="0.2">
      <c r="A145" s="37">
        <v>2024</v>
      </c>
      <c r="B145" s="38" t="s">
        <v>89</v>
      </c>
      <c r="C145" s="38" t="s">
        <v>104</v>
      </c>
      <c r="D145" s="39">
        <v>4</v>
      </c>
      <c r="E145" s="40">
        <v>2134</v>
      </c>
    </row>
    <row r="146" spans="1:7" hidden="1" x14ac:dyDescent="0.2">
      <c r="A146" s="37">
        <v>2024</v>
      </c>
      <c r="B146" s="38" t="s">
        <v>89</v>
      </c>
      <c r="C146" s="38" t="s">
        <v>104</v>
      </c>
      <c r="D146" s="39">
        <v>5</v>
      </c>
      <c r="E146" s="40">
        <v>2000</v>
      </c>
    </row>
    <row r="147" spans="1:7" hidden="1" x14ac:dyDescent="0.2">
      <c r="A147" s="37">
        <v>2024</v>
      </c>
      <c r="B147" s="38" t="s">
        <v>89</v>
      </c>
      <c r="C147" s="38" t="s">
        <v>104</v>
      </c>
      <c r="D147" s="39">
        <v>6</v>
      </c>
      <c r="E147" s="40">
        <v>1816</v>
      </c>
    </row>
    <row r="148" spans="1:7" hidden="1" x14ac:dyDescent="0.2">
      <c r="A148" s="37">
        <v>2024</v>
      </c>
      <c r="B148" s="38" t="s">
        <v>89</v>
      </c>
      <c r="C148" s="38" t="s">
        <v>104</v>
      </c>
      <c r="D148" s="39">
        <v>7</v>
      </c>
      <c r="E148" s="40">
        <v>1807</v>
      </c>
    </row>
    <row r="149" spans="1:7" hidden="1" x14ac:dyDescent="0.2">
      <c r="A149" s="37">
        <v>2024</v>
      </c>
      <c r="B149" s="38" t="s">
        <v>89</v>
      </c>
      <c r="C149" s="38" t="s">
        <v>104</v>
      </c>
      <c r="D149" s="39">
        <v>8</v>
      </c>
      <c r="E149" s="40">
        <v>1628</v>
      </c>
    </row>
    <row r="150" spans="1:7" hidden="1" x14ac:dyDescent="0.2">
      <c r="A150" s="37">
        <v>2024</v>
      </c>
      <c r="B150" s="38" t="s">
        <v>89</v>
      </c>
      <c r="C150" s="38" t="s">
        <v>104</v>
      </c>
      <c r="D150" s="39">
        <v>9</v>
      </c>
      <c r="E150" s="40">
        <v>1380</v>
      </c>
    </row>
    <row r="151" spans="1:7" hidden="1" x14ac:dyDescent="0.2">
      <c r="A151" s="37">
        <v>2024</v>
      </c>
      <c r="B151" s="38" t="s">
        <v>89</v>
      </c>
      <c r="C151" s="38" t="s">
        <v>104</v>
      </c>
      <c r="D151" s="39">
        <v>10</v>
      </c>
      <c r="E151" s="40">
        <v>1302</v>
      </c>
    </row>
    <row r="152" spans="1:7" x14ac:dyDescent="0.2">
      <c r="A152" s="37">
        <v>2024</v>
      </c>
      <c r="B152" s="38" t="s">
        <v>110</v>
      </c>
      <c r="C152" s="38" t="s">
        <v>99</v>
      </c>
      <c r="D152" s="39">
        <v>1</v>
      </c>
      <c r="E152" s="40">
        <v>425</v>
      </c>
      <c r="F152" s="24">
        <f>'Populations decile 1'!E152</f>
        <v>207794</v>
      </c>
      <c r="G152">
        <f>E152/F152</f>
        <v>2.0452948593318383E-3</v>
      </c>
    </row>
    <row r="153" spans="1:7" hidden="1" x14ac:dyDescent="0.2">
      <c r="A153" s="37">
        <v>2024</v>
      </c>
      <c r="B153" s="38" t="s">
        <v>89</v>
      </c>
      <c r="C153" s="38" t="s">
        <v>105</v>
      </c>
      <c r="D153" s="39">
        <v>2</v>
      </c>
      <c r="E153" s="40">
        <v>3215</v>
      </c>
    </row>
    <row r="154" spans="1:7" hidden="1" x14ac:dyDescent="0.2">
      <c r="A154" s="37">
        <v>2024</v>
      </c>
      <c r="B154" s="38" t="s">
        <v>89</v>
      </c>
      <c r="C154" s="38" t="s">
        <v>105</v>
      </c>
      <c r="D154" s="39">
        <v>3</v>
      </c>
      <c r="E154" s="40">
        <v>3071</v>
      </c>
    </row>
    <row r="155" spans="1:7" hidden="1" x14ac:dyDescent="0.2">
      <c r="A155" s="37">
        <v>2024</v>
      </c>
      <c r="B155" s="38" t="s">
        <v>89</v>
      </c>
      <c r="C155" s="38" t="s">
        <v>105</v>
      </c>
      <c r="D155" s="39">
        <v>4</v>
      </c>
      <c r="E155" s="40">
        <v>2948</v>
      </c>
    </row>
    <row r="156" spans="1:7" hidden="1" x14ac:dyDescent="0.2">
      <c r="A156" s="37">
        <v>2024</v>
      </c>
      <c r="B156" s="38" t="s">
        <v>89</v>
      </c>
      <c r="C156" s="38" t="s">
        <v>105</v>
      </c>
      <c r="D156" s="39">
        <v>5</v>
      </c>
      <c r="E156" s="40">
        <v>2786</v>
      </c>
    </row>
    <row r="157" spans="1:7" hidden="1" x14ac:dyDescent="0.2">
      <c r="A157" s="37">
        <v>2024</v>
      </c>
      <c r="B157" s="38" t="s">
        <v>89</v>
      </c>
      <c r="C157" s="38" t="s">
        <v>105</v>
      </c>
      <c r="D157" s="39">
        <v>6</v>
      </c>
      <c r="E157" s="40">
        <v>2718</v>
      </c>
    </row>
    <row r="158" spans="1:7" hidden="1" x14ac:dyDescent="0.2">
      <c r="A158" s="37">
        <v>2024</v>
      </c>
      <c r="B158" s="38" t="s">
        <v>89</v>
      </c>
      <c r="C158" s="38" t="s">
        <v>105</v>
      </c>
      <c r="D158" s="39">
        <v>7</v>
      </c>
      <c r="E158" s="40">
        <v>2747</v>
      </c>
    </row>
    <row r="159" spans="1:7" hidden="1" x14ac:dyDescent="0.2">
      <c r="A159" s="37">
        <v>2024</v>
      </c>
      <c r="B159" s="38" t="s">
        <v>89</v>
      </c>
      <c r="C159" s="38" t="s">
        <v>105</v>
      </c>
      <c r="D159" s="39">
        <v>8</v>
      </c>
      <c r="E159" s="40">
        <v>2421</v>
      </c>
    </row>
    <row r="160" spans="1:7" hidden="1" x14ac:dyDescent="0.2">
      <c r="A160" s="37">
        <v>2024</v>
      </c>
      <c r="B160" s="38" t="s">
        <v>89</v>
      </c>
      <c r="C160" s="38" t="s">
        <v>105</v>
      </c>
      <c r="D160" s="39">
        <v>9</v>
      </c>
      <c r="E160" s="40">
        <v>2398</v>
      </c>
    </row>
    <row r="161" spans="1:7" hidden="1" x14ac:dyDescent="0.2">
      <c r="A161" s="37">
        <v>2024</v>
      </c>
      <c r="B161" s="38" t="s">
        <v>89</v>
      </c>
      <c r="C161" s="38" t="s">
        <v>105</v>
      </c>
      <c r="D161" s="39">
        <v>10</v>
      </c>
      <c r="E161" s="40">
        <v>2042</v>
      </c>
    </row>
    <row r="162" spans="1:7" x14ac:dyDescent="0.2">
      <c r="A162" s="37">
        <v>2024</v>
      </c>
      <c r="B162" s="38" t="s">
        <v>89</v>
      </c>
      <c r="C162" s="38" t="s">
        <v>100</v>
      </c>
      <c r="D162" s="39">
        <v>1</v>
      </c>
      <c r="E162" s="40">
        <v>954</v>
      </c>
      <c r="F162" s="24">
        <f>'Populations decile 1'!E162</f>
        <v>169270</v>
      </c>
      <c r="G162">
        <f>E162/F162</f>
        <v>5.6359662078336384E-3</v>
      </c>
    </row>
    <row r="163" spans="1:7" hidden="1" x14ac:dyDescent="0.2">
      <c r="A163" s="37">
        <v>2024</v>
      </c>
      <c r="B163" s="38" t="s">
        <v>89</v>
      </c>
      <c r="C163" s="38" t="s">
        <v>106</v>
      </c>
      <c r="D163" s="39">
        <v>2</v>
      </c>
      <c r="E163" s="40">
        <v>3959</v>
      </c>
    </row>
    <row r="164" spans="1:7" hidden="1" x14ac:dyDescent="0.2">
      <c r="A164" s="37">
        <v>2024</v>
      </c>
      <c r="B164" s="38" t="s">
        <v>89</v>
      </c>
      <c r="C164" s="38" t="s">
        <v>106</v>
      </c>
      <c r="D164" s="39">
        <v>3</v>
      </c>
      <c r="E164" s="40">
        <v>4092</v>
      </c>
    </row>
    <row r="165" spans="1:7" hidden="1" x14ac:dyDescent="0.2">
      <c r="A165" s="37">
        <v>2024</v>
      </c>
      <c r="B165" s="38" t="s">
        <v>89</v>
      </c>
      <c r="C165" s="38" t="s">
        <v>106</v>
      </c>
      <c r="D165" s="39">
        <v>4</v>
      </c>
      <c r="E165" s="40">
        <v>4209</v>
      </c>
    </row>
    <row r="166" spans="1:7" hidden="1" x14ac:dyDescent="0.2">
      <c r="A166" s="37">
        <v>2024</v>
      </c>
      <c r="B166" s="38" t="s">
        <v>89</v>
      </c>
      <c r="C166" s="38" t="s">
        <v>106</v>
      </c>
      <c r="D166" s="39">
        <v>5</v>
      </c>
      <c r="E166" s="40">
        <v>4289</v>
      </c>
    </row>
    <row r="167" spans="1:7" hidden="1" x14ac:dyDescent="0.2">
      <c r="A167" s="37">
        <v>2024</v>
      </c>
      <c r="B167" s="38" t="s">
        <v>89</v>
      </c>
      <c r="C167" s="38" t="s">
        <v>106</v>
      </c>
      <c r="D167" s="39">
        <v>6</v>
      </c>
      <c r="E167" s="40">
        <v>4185</v>
      </c>
    </row>
    <row r="168" spans="1:7" hidden="1" x14ac:dyDescent="0.2">
      <c r="A168" s="37">
        <v>2024</v>
      </c>
      <c r="B168" s="38" t="s">
        <v>89</v>
      </c>
      <c r="C168" s="38" t="s">
        <v>106</v>
      </c>
      <c r="D168" s="39">
        <v>7</v>
      </c>
      <c r="E168" s="40">
        <v>4328</v>
      </c>
    </row>
    <row r="169" spans="1:7" hidden="1" x14ac:dyDescent="0.2">
      <c r="A169" s="37">
        <v>2024</v>
      </c>
      <c r="B169" s="38" t="s">
        <v>89</v>
      </c>
      <c r="C169" s="38" t="s">
        <v>106</v>
      </c>
      <c r="D169" s="39">
        <v>8</v>
      </c>
      <c r="E169" s="40">
        <v>4201</v>
      </c>
    </row>
    <row r="170" spans="1:7" hidden="1" x14ac:dyDescent="0.2">
      <c r="A170" s="37">
        <v>2024</v>
      </c>
      <c r="B170" s="38" t="s">
        <v>89</v>
      </c>
      <c r="C170" s="38" t="s">
        <v>106</v>
      </c>
      <c r="D170" s="39">
        <v>9</v>
      </c>
      <c r="E170" s="40">
        <v>3934</v>
      </c>
    </row>
    <row r="171" spans="1:7" hidden="1" x14ac:dyDescent="0.2">
      <c r="A171" s="37">
        <v>2024</v>
      </c>
      <c r="B171" s="38" t="s">
        <v>89</v>
      </c>
      <c r="C171" s="38" t="s">
        <v>106</v>
      </c>
      <c r="D171" s="39">
        <v>10</v>
      </c>
      <c r="E171" s="40">
        <v>3559</v>
      </c>
    </row>
    <row r="172" spans="1:7" x14ac:dyDescent="0.2">
      <c r="A172" s="37">
        <v>2024</v>
      </c>
      <c r="B172" s="38" t="s">
        <v>110</v>
      </c>
      <c r="C172" s="38" t="s">
        <v>100</v>
      </c>
      <c r="D172" s="39">
        <v>1</v>
      </c>
      <c r="E172" s="40">
        <v>511</v>
      </c>
      <c r="F172" s="24">
        <f>'Populations decile 1'!E172</f>
        <v>171771</v>
      </c>
      <c r="G172">
        <f>E172/F172</f>
        <v>2.9748909885836377E-3</v>
      </c>
    </row>
    <row r="173" spans="1:7" hidden="1" x14ac:dyDescent="0.2">
      <c r="A173" s="37">
        <v>2024</v>
      </c>
      <c r="B173" s="38" t="s">
        <v>89</v>
      </c>
      <c r="C173" s="38" t="s">
        <v>107</v>
      </c>
      <c r="D173" s="39">
        <v>2</v>
      </c>
      <c r="E173" s="40">
        <v>3813</v>
      </c>
    </row>
    <row r="174" spans="1:7" hidden="1" x14ac:dyDescent="0.2">
      <c r="A174" s="37">
        <v>2024</v>
      </c>
      <c r="B174" s="38" t="s">
        <v>89</v>
      </c>
      <c r="C174" s="38" t="s">
        <v>107</v>
      </c>
      <c r="D174" s="39">
        <v>3</v>
      </c>
      <c r="E174" s="40">
        <v>4111</v>
      </c>
    </row>
    <row r="175" spans="1:7" hidden="1" x14ac:dyDescent="0.2">
      <c r="A175" s="37">
        <v>2024</v>
      </c>
      <c r="B175" s="38" t="s">
        <v>89</v>
      </c>
      <c r="C175" s="38" t="s">
        <v>107</v>
      </c>
      <c r="D175" s="39">
        <v>4</v>
      </c>
      <c r="E175" s="40">
        <v>4396</v>
      </c>
    </row>
    <row r="176" spans="1:7" hidden="1" x14ac:dyDescent="0.2">
      <c r="A176" s="37">
        <v>2024</v>
      </c>
      <c r="B176" s="38" t="s">
        <v>89</v>
      </c>
      <c r="C176" s="38" t="s">
        <v>107</v>
      </c>
      <c r="D176" s="39">
        <v>5</v>
      </c>
      <c r="E176" s="40">
        <v>4538</v>
      </c>
    </row>
    <row r="177" spans="1:7" hidden="1" x14ac:dyDescent="0.2">
      <c r="A177" s="37">
        <v>2024</v>
      </c>
      <c r="B177" s="38" t="s">
        <v>89</v>
      </c>
      <c r="C177" s="38" t="s">
        <v>107</v>
      </c>
      <c r="D177" s="39">
        <v>6</v>
      </c>
      <c r="E177" s="40">
        <v>4807</v>
      </c>
    </row>
    <row r="178" spans="1:7" hidden="1" x14ac:dyDescent="0.2">
      <c r="A178" s="37">
        <v>2024</v>
      </c>
      <c r="B178" s="38" t="s">
        <v>89</v>
      </c>
      <c r="C178" s="38" t="s">
        <v>107</v>
      </c>
      <c r="D178" s="39">
        <v>7</v>
      </c>
      <c r="E178" s="40">
        <v>4736</v>
      </c>
    </row>
    <row r="179" spans="1:7" hidden="1" x14ac:dyDescent="0.2">
      <c r="A179" s="37">
        <v>2024</v>
      </c>
      <c r="B179" s="38" t="s">
        <v>89</v>
      </c>
      <c r="C179" s="38" t="s">
        <v>107</v>
      </c>
      <c r="D179" s="39">
        <v>8</v>
      </c>
      <c r="E179" s="40">
        <v>4735</v>
      </c>
    </row>
    <row r="180" spans="1:7" hidden="1" x14ac:dyDescent="0.2">
      <c r="A180" s="37">
        <v>2024</v>
      </c>
      <c r="B180" s="38" t="s">
        <v>89</v>
      </c>
      <c r="C180" s="38" t="s">
        <v>107</v>
      </c>
      <c r="D180" s="39">
        <v>9</v>
      </c>
      <c r="E180" s="40">
        <v>4747</v>
      </c>
    </row>
    <row r="181" spans="1:7" hidden="1" x14ac:dyDescent="0.2">
      <c r="A181" s="37">
        <v>2024</v>
      </c>
      <c r="B181" s="38" t="s">
        <v>89</v>
      </c>
      <c r="C181" s="38" t="s">
        <v>107</v>
      </c>
      <c r="D181" s="39">
        <v>10</v>
      </c>
      <c r="E181" s="40">
        <v>4417</v>
      </c>
    </row>
    <row r="182" spans="1:7" x14ac:dyDescent="0.2">
      <c r="A182" s="37">
        <v>2024</v>
      </c>
      <c r="B182" s="38" t="s">
        <v>89</v>
      </c>
      <c r="C182" s="38" t="s">
        <v>101</v>
      </c>
      <c r="D182" s="39">
        <v>1</v>
      </c>
      <c r="E182" s="40">
        <v>1446</v>
      </c>
      <c r="F182" s="24">
        <f>'Populations decile 1'!E182</f>
        <v>170872</v>
      </c>
      <c r="G182">
        <f>E182/F182</f>
        <v>8.4624748349641839E-3</v>
      </c>
    </row>
    <row r="183" spans="1:7" hidden="1" x14ac:dyDescent="0.2">
      <c r="A183" s="37">
        <v>2024</v>
      </c>
      <c r="B183" s="38" t="s">
        <v>89</v>
      </c>
      <c r="C183" s="38" t="s">
        <v>108</v>
      </c>
      <c r="D183" s="39">
        <v>2</v>
      </c>
      <c r="E183" s="40">
        <v>3624</v>
      </c>
    </row>
    <row r="184" spans="1:7" hidden="1" x14ac:dyDescent="0.2">
      <c r="A184" s="37">
        <v>2024</v>
      </c>
      <c r="B184" s="38" t="s">
        <v>89</v>
      </c>
      <c r="C184" s="38" t="s">
        <v>108</v>
      </c>
      <c r="D184" s="39">
        <v>3</v>
      </c>
      <c r="E184" s="40">
        <v>3915</v>
      </c>
    </row>
    <row r="185" spans="1:7" hidden="1" x14ac:dyDescent="0.2">
      <c r="A185" s="37">
        <v>2024</v>
      </c>
      <c r="B185" s="38" t="s">
        <v>89</v>
      </c>
      <c r="C185" s="38" t="s">
        <v>108</v>
      </c>
      <c r="D185" s="39">
        <v>4</v>
      </c>
      <c r="E185" s="40">
        <v>4284</v>
      </c>
    </row>
    <row r="186" spans="1:7" hidden="1" x14ac:dyDescent="0.2">
      <c r="A186" s="37">
        <v>2024</v>
      </c>
      <c r="B186" s="38" t="s">
        <v>89</v>
      </c>
      <c r="C186" s="38" t="s">
        <v>108</v>
      </c>
      <c r="D186" s="39">
        <v>5</v>
      </c>
      <c r="E186" s="40">
        <v>4920</v>
      </c>
    </row>
    <row r="187" spans="1:7" hidden="1" x14ac:dyDescent="0.2">
      <c r="A187" s="37">
        <v>2024</v>
      </c>
      <c r="B187" s="38" t="s">
        <v>89</v>
      </c>
      <c r="C187" s="38" t="s">
        <v>108</v>
      </c>
      <c r="D187" s="39">
        <v>6</v>
      </c>
      <c r="E187" s="40">
        <v>5096</v>
      </c>
    </row>
    <row r="188" spans="1:7" hidden="1" x14ac:dyDescent="0.2">
      <c r="A188" s="37">
        <v>2024</v>
      </c>
      <c r="B188" s="38" t="s">
        <v>89</v>
      </c>
      <c r="C188" s="38" t="s">
        <v>108</v>
      </c>
      <c r="D188" s="39">
        <v>7</v>
      </c>
      <c r="E188" s="40">
        <v>5191</v>
      </c>
    </row>
    <row r="189" spans="1:7" hidden="1" x14ac:dyDescent="0.2">
      <c r="A189" s="37">
        <v>2024</v>
      </c>
      <c r="B189" s="38" t="s">
        <v>89</v>
      </c>
      <c r="C189" s="38" t="s">
        <v>108</v>
      </c>
      <c r="D189" s="39">
        <v>8</v>
      </c>
      <c r="E189" s="40">
        <v>5118</v>
      </c>
    </row>
    <row r="190" spans="1:7" hidden="1" x14ac:dyDescent="0.2">
      <c r="A190" s="37">
        <v>2024</v>
      </c>
      <c r="B190" s="38" t="s">
        <v>89</v>
      </c>
      <c r="C190" s="38" t="s">
        <v>108</v>
      </c>
      <c r="D190" s="39">
        <v>9</v>
      </c>
      <c r="E190" s="40">
        <v>5308</v>
      </c>
    </row>
    <row r="191" spans="1:7" hidden="1" x14ac:dyDescent="0.2">
      <c r="A191" s="37">
        <v>2024</v>
      </c>
      <c r="B191" s="38" t="s">
        <v>89</v>
      </c>
      <c r="C191" s="38" t="s">
        <v>108</v>
      </c>
      <c r="D191" s="39">
        <v>10</v>
      </c>
      <c r="E191" s="40">
        <v>4981</v>
      </c>
    </row>
    <row r="192" spans="1:7" x14ac:dyDescent="0.2">
      <c r="A192" s="37">
        <v>2024</v>
      </c>
      <c r="B192" s="38" t="s">
        <v>110</v>
      </c>
      <c r="C192" s="38" t="s">
        <v>101</v>
      </c>
      <c r="D192" s="39">
        <v>1</v>
      </c>
      <c r="E192" s="40">
        <v>833</v>
      </c>
      <c r="F192" s="24">
        <f>'Populations decile 1'!E192</f>
        <v>173814</v>
      </c>
      <c r="G192">
        <f>E192/F192</f>
        <v>4.7924793169710151E-3</v>
      </c>
    </row>
    <row r="193" spans="1:5" hidden="1" x14ac:dyDescent="0.2">
      <c r="A193" s="37">
        <v>2024</v>
      </c>
      <c r="B193" s="38" t="s">
        <v>89</v>
      </c>
      <c r="C193" s="38" t="s">
        <v>109</v>
      </c>
      <c r="D193" s="39">
        <v>2</v>
      </c>
      <c r="E193" s="40">
        <v>2867</v>
      </c>
    </row>
    <row r="194" spans="1:5" hidden="1" x14ac:dyDescent="0.2">
      <c r="A194" s="37">
        <v>2024</v>
      </c>
      <c r="B194" s="38" t="s">
        <v>89</v>
      </c>
      <c r="C194" s="38" t="s">
        <v>109</v>
      </c>
      <c r="D194" s="39">
        <v>3</v>
      </c>
      <c r="E194" s="40">
        <v>3276</v>
      </c>
    </row>
    <row r="195" spans="1:5" hidden="1" x14ac:dyDescent="0.2">
      <c r="A195" s="37">
        <v>2024</v>
      </c>
      <c r="B195" s="38" t="s">
        <v>89</v>
      </c>
      <c r="C195" s="38" t="s">
        <v>109</v>
      </c>
      <c r="D195" s="39">
        <v>4</v>
      </c>
      <c r="E195" s="40">
        <v>3842</v>
      </c>
    </row>
    <row r="196" spans="1:5" hidden="1" x14ac:dyDescent="0.2">
      <c r="A196" s="37">
        <v>2024</v>
      </c>
      <c r="B196" s="38" t="s">
        <v>89</v>
      </c>
      <c r="C196" s="38" t="s">
        <v>109</v>
      </c>
      <c r="D196" s="39">
        <v>5</v>
      </c>
      <c r="E196" s="40">
        <v>4298</v>
      </c>
    </row>
    <row r="197" spans="1:5" hidden="1" x14ac:dyDescent="0.2">
      <c r="A197" s="37">
        <v>2024</v>
      </c>
      <c r="B197" s="38" t="s">
        <v>89</v>
      </c>
      <c r="C197" s="38" t="s">
        <v>109</v>
      </c>
      <c r="D197" s="39">
        <v>6</v>
      </c>
      <c r="E197" s="40">
        <v>4537</v>
      </c>
    </row>
    <row r="198" spans="1:5" hidden="1" x14ac:dyDescent="0.2">
      <c r="A198" s="37">
        <v>2024</v>
      </c>
      <c r="B198" s="38" t="s">
        <v>89</v>
      </c>
      <c r="C198" s="38" t="s">
        <v>109</v>
      </c>
      <c r="D198" s="39">
        <v>7</v>
      </c>
      <c r="E198" s="40">
        <v>5232</v>
      </c>
    </row>
    <row r="199" spans="1:5" hidden="1" x14ac:dyDescent="0.2">
      <c r="A199" s="37">
        <v>2024</v>
      </c>
      <c r="B199" s="38" t="s">
        <v>89</v>
      </c>
      <c r="C199" s="38" t="s">
        <v>109</v>
      </c>
      <c r="D199" s="39">
        <v>8</v>
      </c>
      <c r="E199" s="40">
        <v>5067</v>
      </c>
    </row>
    <row r="200" spans="1:5" hidden="1" x14ac:dyDescent="0.2">
      <c r="A200" s="37">
        <v>2024</v>
      </c>
      <c r="B200" s="38" t="s">
        <v>89</v>
      </c>
      <c r="C200" s="38" t="s">
        <v>109</v>
      </c>
      <c r="D200" s="39">
        <v>9</v>
      </c>
      <c r="E200" s="40">
        <v>5368</v>
      </c>
    </row>
    <row r="201" spans="1:5" hidden="1" x14ac:dyDescent="0.2">
      <c r="A201" s="37">
        <v>2024</v>
      </c>
      <c r="B201" s="38" t="s">
        <v>89</v>
      </c>
      <c r="C201" s="38" t="s">
        <v>109</v>
      </c>
      <c r="D201" s="39">
        <v>10</v>
      </c>
      <c r="E201" s="40">
        <v>5566</v>
      </c>
    </row>
    <row r="202" spans="1:5" hidden="1" x14ac:dyDescent="0.2">
      <c r="A202" s="37">
        <v>2024</v>
      </c>
      <c r="B202" s="38" t="s">
        <v>110</v>
      </c>
      <c r="C202" s="38" t="s">
        <v>90</v>
      </c>
      <c r="D202" s="39">
        <v>1</v>
      </c>
      <c r="E202" s="40">
        <v>238</v>
      </c>
    </row>
    <row r="203" spans="1:5" hidden="1" x14ac:dyDescent="0.2">
      <c r="A203" s="37">
        <v>2024</v>
      </c>
      <c r="B203" s="38" t="s">
        <v>110</v>
      </c>
      <c r="C203" s="38" t="s">
        <v>90</v>
      </c>
      <c r="D203" s="39">
        <v>2</v>
      </c>
      <c r="E203" s="40">
        <v>186</v>
      </c>
    </row>
    <row r="204" spans="1:5" hidden="1" x14ac:dyDescent="0.2">
      <c r="A204" s="37">
        <v>2024</v>
      </c>
      <c r="B204" s="38" t="s">
        <v>110</v>
      </c>
      <c r="C204" s="38" t="s">
        <v>90</v>
      </c>
      <c r="D204" s="39">
        <v>3</v>
      </c>
      <c r="E204" s="40">
        <v>125</v>
      </c>
    </row>
    <row r="205" spans="1:5" hidden="1" x14ac:dyDescent="0.2">
      <c r="A205" s="37">
        <v>2024</v>
      </c>
      <c r="B205" s="38" t="s">
        <v>110</v>
      </c>
      <c r="C205" s="38" t="s">
        <v>90</v>
      </c>
      <c r="D205" s="39">
        <v>4</v>
      </c>
      <c r="E205" s="40">
        <v>108</v>
      </c>
    </row>
    <row r="206" spans="1:5" hidden="1" x14ac:dyDescent="0.2">
      <c r="A206" s="37">
        <v>2024</v>
      </c>
      <c r="B206" s="38" t="s">
        <v>110</v>
      </c>
      <c r="C206" s="38" t="s">
        <v>90</v>
      </c>
      <c r="D206" s="39">
        <v>5</v>
      </c>
      <c r="E206" s="40">
        <v>88</v>
      </c>
    </row>
    <row r="207" spans="1:5" hidden="1" x14ac:dyDescent="0.2">
      <c r="A207" s="37">
        <v>2024</v>
      </c>
      <c r="B207" s="38" t="s">
        <v>110</v>
      </c>
      <c r="C207" s="38" t="s">
        <v>90</v>
      </c>
      <c r="D207" s="39">
        <v>6</v>
      </c>
      <c r="E207" s="40">
        <v>72</v>
      </c>
    </row>
    <row r="208" spans="1:5" hidden="1" x14ac:dyDescent="0.2">
      <c r="A208" s="37">
        <v>2024</v>
      </c>
      <c r="B208" s="38" t="s">
        <v>110</v>
      </c>
      <c r="C208" s="38" t="s">
        <v>90</v>
      </c>
      <c r="D208" s="39">
        <v>7</v>
      </c>
      <c r="E208" s="40">
        <v>79</v>
      </c>
    </row>
    <row r="209" spans="1:5" hidden="1" x14ac:dyDescent="0.2">
      <c r="A209" s="37">
        <v>2024</v>
      </c>
      <c r="B209" s="38" t="s">
        <v>110</v>
      </c>
      <c r="C209" s="38" t="s">
        <v>90</v>
      </c>
      <c r="D209" s="39">
        <v>8</v>
      </c>
      <c r="E209" s="40">
        <v>63</v>
      </c>
    </row>
    <row r="210" spans="1:5" hidden="1" x14ac:dyDescent="0.2">
      <c r="A210" s="37">
        <v>2024</v>
      </c>
      <c r="B210" s="38" t="s">
        <v>110</v>
      </c>
      <c r="C210" s="38" t="s">
        <v>90</v>
      </c>
      <c r="D210" s="39">
        <v>9</v>
      </c>
      <c r="E210" s="40">
        <v>68</v>
      </c>
    </row>
    <row r="211" spans="1:5" hidden="1" x14ac:dyDescent="0.2">
      <c r="A211" s="37">
        <v>2024</v>
      </c>
      <c r="B211" s="38" t="s">
        <v>110</v>
      </c>
      <c r="C211" s="38" t="s">
        <v>90</v>
      </c>
      <c r="D211" s="39">
        <v>10</v>
      </c>
      <c r="E211" s="40">
        <v>45</v>
      </c>
    </row>
    <row r="212" spans="1:5" hidden="1" x14ac:dyDescent="0.2">
      <c r="A212" s="37">
        <v>2024</v>
      </c>
      <c r="B212" s="38" t="s">
        <v>110</v>
      </c>
      <c r="C212" s="38" t="s">
        <v>91</v>
      </c>
      <c r="D212" s="39">
        <v>1</v>
      </c>
      <c r="E212" s="40">
        <v>37</v>
      </c>
    </row>
    <row r="213" spans="1:5" hidden="1" x14ac:dyDescent="0.2">
      <c r="A213" s="37">
        <v>2024</v>
      </c>
      <c r="B213" s="38" t="s">
        <v>110</v>
      </c>
      <c r="C213" s="38" t="s">
        <v>91</v>
      </c>
      <c r="D213" s="39">
        <v>2</v>
      </c>
      <c r="E213" s="40">
        <v>21</v>
      </c>
    </row>
    <row r="214" spans="1:5" hidden="1" x14ac:dyDescent="0.2">
      <c r="A214" s="37">
        <v>2024</v>
      </c>
      <c r="B214" s="38" t="s">
        <v>110</v>
      </c>
      <c r="C214" s="38" t="s">
        <v>91</v>
      </c>
      <c r="D214" s="39">
        <v>3</v>
      </c>
      <c r="E214" s="40">
        <v>15</v>
      </c>
    </row>
    <row r="215" spans="1:5" hidden="1" x14ac:dyDescent="0.2">
      <c r="A215" s="37">
        <v>2024</v>
      </c>
      <c r="B215" s="38" t="s">
        <v>110</v>
      </c>
      <c r="C215" s="38" t="s">
        <v>91</v>
      </c>
      <c r="D215" s="39">
        <v>4</v>
      </c>
      <c r="E215" s="40">
        <v>13</v>
      </c>
    </row>
    <row r="216" spans="1:5" hidden="1" x14ac:dyDescent="0.2">
      <c r="A216" s="37">
        <v>2024</v>
      </c>
      <c r="B216" s="38" t="s">
        <v>110</v>
      </c>
      <c r="C216" s="38" t="s">
        <v>91</v>
      </c>
      <c r="D216" s="39">
        <v>5</v>
      </c>
      <c r="E216" s="40">
        <v>7</v>
      </c>
    </row>
    <row r="217" spans="1:5" hidden="1" x14ac:dyDescent="0.2">
      <c r="A217" s="37">
        <v>2024</v>
      </c>
      <c r="B217" s="38" t="s">
        <v>110</v>
      </c>
      <c r="C217" s="38" t="s">
        <v>91</v>
      </c>
      <c r="D217" s="39">
        <v>6</v>
      </c>
      <c r="E217" s="40">
        <v>10</v>
      </c>
    </row>
    <row r="218" spans="1:5" hidden="1" x14ac:dyDescent="0.2">
      <c r="A218" s="37">
        <v>2024</v>
      </c>
      <c r="B218" s="38" t="s">
        <v>110</v>
      </c>
      <c r="C218" s="38" t="s">
        <v>91</v>
      </c>
      <c r="D218" s="39">
        <v>7</v>
      </c>
      <c r="E218" s="40">
        <v>8</v>
      </c>
    </row>
    <row r="219" spans="1:5" hidden="1" x14ac:dyDescent="0.2">
      <c r="A219" s="37">
        <v>2024</v>
      </c>
      <c r="B219" s="38" t="s">
        <v>110</v>
      </c>
      <c r="C219" s="38" t="s">
        <v>91</v>
      </c>
      <c r="D219" s="39">
        <v>8</v>
      </c>
      <c r="E219" s="40">
        <v>9</v>
      </c>
    </row>
    <row r="220" spans="1:5" hidden="1" x14ac:dyDescent="0.2">
      <c r="A220" s="37">
        <v>2024</v>
      </c>
      <c r="B220" s="38" t="s">
        <v>110</v>
      </c>
      <c r="C220" s="38" t="s">
        <v>91</v>
      </c>
      <c r="D220" s="39">
        <v>9</v>
      </c>
      <c r="E220" s="40">
        <v>7</v>
      </c>
    </row>
    <row r="221" spans="1:5" hidden="1" x14ac:dyDescent="0.2">
      <c r="A221" s="37">
        <v>2024</v>
      </c>
      <c r="B221" s="38" t="s">
        <v>110</v>
      </c>
      <c r="C221" s="38" t="s">
        <v>91</v>
      </c>
      <c r="D221" s="39">
        <v>10</v>
      </c>
      <c r="E221" s="40">
        <v>10</v>
      </c>
    </row>
    <row r="222" spans="1:5" hidden="1" x14ac:dyDescent="0.2">
      <c r="A222" s="37">
        <v>2024</v>
      </c>
      <c r="B222" s="38" t="s">
        <v>110</v>
      </c>
      <c r="C222" s="38" t="s">
        <v>92</v>
      </c>
      <c r="D222" s="39">
        <v>1</v>
      </c>
      <c r="E222" s="40">
        <v>30</v>
      </c>
    </row>
    <row r="223" spans="1:5" hidden="1" x14ac:dyDescent="0.2">
      <c r="A223" s="37">
        <v>2024</v>
      </c>
      <c r="B223" s="38" t="s">
        <v>110</v>
      </c>
      <c r="C223" s="38" t="s">
        <v>92</v>
      </c>
      <c r="D223" s="39">
        <v>2</v>
      </c>
      <c r="E223" s="40">
        <v>14</v>
      </c>
    </row>
    <row r="224" spans="1:5" hidden="1" x14ac:dyDescent="0.2">
      <c r="A224" s="37">
        <v>2024</v>
      </c>
      <c r="B224" s="38" t="s">
        <v>110</v>
      </c>
      <c r="C224" s="38" t="s">
        <v>92</v>
      </c>
      <c r="D224" s="39">
        <v>3</v>
      </c>
      <c r="E224" s="40">
        <v>11</v>
      </c>
    </row>
    <row r="225" spans="1:5" hidden="1" x14ac:dyDescent="0.2">
      <c r="A225" s="37">
        <v>2024</v>
      </c>
      <c r="B225" s="38" t="s">
        <v>110</v>
      </c>
      <c r="C225" s="38" t="s">
        <v>92</v>
      </c>
      <c r="D225" s="39">
        <v>4</v>
      </c>
      <c r="E225" s="40">
        <v>11</v>
      </c>
    </row>
    <row r="226" spans="1:5" hidden="1" x14ac:dyDescent="0.2">
      <c r="A226" s="37">
        <v>2024</v>
      </c>
      <c r="B226" s="38" t="s">
        <v>110</v>
      </c>
      <c r="C226" s="38" t="s">
        <v>92</v>
      </c>
      <c r="D226" s="39">
        <v>5</v>
      </c>
      <c r="E226" s="40">
        <v>5</v>
      </c>
    </row>
    <row r="227" spans="1:5" hidden="1" x14ac:dyDescent="0.2">
      <c r="A227" s="37">
        <v>2024</v>
      </c>
      <c r="B227" s="38" t="s">
        <v>110</v>
      </c>
      <c r="C227" s="38" t="s">
        <v>92</v>
      </c>
      <c r="D227" s="39">
        <v>6</v>
      </c>
      <c r="E227" s="40">
        <v>11</v>
      </c>
    </row>
    <row r="228" spans="1:5" hidden="1" x14ac:dyDescent="0.2">
      <c r="A228" s="37">
        <v>2024</v>
      </c>
      <c r="B228" s="38" t="s">
        <v>110</v>
      </c>
      <c r="C228" s="38" t="s">
        <v>92</v>
      </c>
      <c r="D228" s="39">
        <v>7</v>
      </c>
      <c r="E228" s="40">
        <v>12</v>
      </c>
    </row>
    <row r="229" spans="1:5" hidden="1" x14ac:dyDescent="0.2">
      <c r="A229" s="37">
        <v>2024</v>
      </c>
      <c r="B229" s="38" t="s">
        <v>110</v>
      </c>
      <c r="C229" s="38" t="s">
        <v>92</v>
      </c>
      <c r="D229" s="39">
        <v>8</v>
      </c>
      <c r="E229" s="40">
        <v>8</v>
      </c>
    </row>
    <row r="230" spans="1:5" hidden="1" x14ac:dyDescent="0.2">
      <c r="A230" s="37">
        <v>2024</v>
      </c>
      <c r="B230" s="38" t="s">
        <v>110</v>
      </c>
      <c r="C230" s="38" t="s">
        <v>92</v>
      </c>
      <c r="D230" s="39">
        <v>9</v>
      </c>
      <c r="E230" s="40">
        <v>5</v>
      </c>
    </row>
    <row r="231" spans="1:5" hidden="1" x14ac:dyDescent="0.2">
      <c r="A231" s="37">
        <v>2024</v>
      </c>
      <c r="B231" s="38" t="s">
        <v>110</v>
      </c>
      <c r="C231" s="38" t="s">
        <v>92</v>
      </c>
      <c r="D231" s="39">
        <v>10</v>
      </c>
      <c r="E231" s="40">
        <v>8</v>
      </c>
    </row>
    <row r="232" spans="1:5" hidden="1" x14ac:dyDescent="0.2">
      <c r="A232" s="37">
        <v>2024</v>
      </c>
      <c r="B232" s="38" t="s">
        <v>110</v>
      </c>
      <c r="C232" s="38" t="s">
        <v>93</v>
      </c>
      <c r="D232" s="39">
        <v>1</v>
      </c>
      <c r="E232" s="40">
        <v>22</v>
      </c>
    </row>
    <row r="233" spans="1:5" hidden="1" x14ac:dyDescent="0.2">
      <c r="A233" s="37">
        <v>2024</v>
      </c>
      <c r="B233" s="38" t="s">
        <v>110</v>
      </c>
      <c r="C233" s="38" t="s">
        <v>93</v>
      </c>
      <c r="D233" s="39">
        <v>2</v>
      </c>
      <c r="E233" s="40">
        <v>16</v>
      </c>
    </row>
    <row r="234" spans="1:5" hidden="1" x14ac:dyDescent="0.2">
      <c r="A234" s="37">
        <v>2024</v>
      </c>
      <c r="B234" s="38" t="s">
        <v>110</v>
      </c>
      <c r="C234" s="38" t="s">
        <v>93</v>
      </c>
      <c r="D234" s="39">
        <v>3</v>
      </c>
      <c r="E234" s="40">
        <v>19</v>
      </c>
    </row>
    <row r="235" spans="1:5" hidden="1" x14ac:dyDescent="0.2">
      <c r="A235" s="37">
        <v>2024</v>
      </c>
      <c r="B235" s="38" t="s">
        <v>110</v>
      </c>
      <c r="C235" s="38" t="s">
        <v>93</v>
      </c>
      <c r="D235" s="39">
        <v>4</v>
      </c>
      <c r="E235" s="40">
        <v>15</v>
      </c>
    </row>
    <row r="236" spans="1:5" hidden="1" x14ac:dyDescent="0.2">
      <c r="A236" s="37">
        <v>2024</v>
      </c>
      <c r="B236" s="38" t="s">
        <v>110</v>
      </c>
      <c r="C236" s="38" t="s">
        <v>93</v>
      </c>
      <c r="D236" s="39">
        <v>5</v>
      </c>
      <c r="E236" s="40">
        <v>12</v>
      </c>
    </row>
    <row r="237" spans="1:5" hidden="1" x14ac:dyDescent="0.2">
      <c r="A237" s="37">
        <v>2024</v>
      </c>
      <c r="B237" s="38" t="s">
        <v>110</v>
      </c>
      <c r="C237" s="38" t="s">
        <v>93</v>
      </c>
      <c r="D237" s="39">
        <v>6</v>
      </c>
      <c r="E237" s="40">
        <v>15</v>
      </c>
    </row>
    <row r="238" spans="1:5" hidden="1" x14ac:dyDescent="0.2">
      <c r="A238" s="37">
        <v>2024</v>
      </c>
      <c r="B238" s="38" t="s">
        <v>110</v>
      </c>
      <c r="C238" s="38" t="s">
        <v>93</v>
      </c>
      <c r="D238" s="39">
        <v>7</v>
      </c>
      <c r="E238" s="40">
        <v>14</v>
      </c>
    </row>
    <row r="239" spans="1:5" hidden="1" x14ac:dyDescent="0.2">
      <c r="A239" s="37">
        <v>2024</v>
      </c>
      <c r="B239" s="38" t="s">
        <v>110</v>
      </c>
      <c r="C239" s="38" t="s">
        <v>93</v>
      </c>
      <c r="D239" s="39">
        <v>8</v>
      </c>
      <c r="E239" s="40">
        <v>7</v>
      </c>
    </row>
    <row r="240" spans="1:5" hidden="1" x14ac:dyDescent="0.2">
      <c r="A240" s="37">
        <v>2024</v>
      </c>
      <c r="B240" s="38" t="s">
        <v>110</v>
      </c>
      <c r="C240" s="38" t="s">
        <v>93</v>
      </c>
      <c r="D240" s="39">
        <v>9</v>
      </c>
      <c r="E240" s="40">
        <v>8</v>
      </c>
    </row>
    <row r="241" spans="1:7" hidden="1" x14ac:dyDescent="0.2">
      <c r="A241" s="37">
        <v>2024</v>
      </c>
      <c r="B241" s="38" t="s">
        <v>110</v>
      </c>
      <c r="C241" s="38" t="s">
        <v>93</v>
      </c>
      <c r="D241" s="39">
        <v>10</v>
      </c>
      <c r="E241" s="40">
        <v>9</v>
      </c>
    </row>
    <row r="242" spans="1:7" x14ac:dyDescent="0.2">
      <c r="A242" s="37">
        <v>2024</v>
      </c>
      <c r="B242" s="38" t="s">
        <v>89</v>
      </c>
      <c r="C242" s="38" t="s">
        <v>102</v>
      </c>
      <c r="D242" s="39">
        <v>1</v>
      </c>
      <c r="E242" s="40">
        <v>1938</v>
      </c>
      <c r="F242" s="24">
        <f>'Populations decile 1'!E242</f>
        <v>167173</v>
      </c>
      <c r="G242">
        <f>E242/F242</f>
        <v>1.1592781130924252E-2</v>
      </c>
    </row>
    <row r="243" spans="1:7" hidden="1" x14ac:dyDescent="0.2">
      <c r="A243" s="37">
        <v>2024</v>
      </c>
      <c r="B243" s="38" t="s">
        <v>110</v>
      </c>
      <c r="C243" s="38" t="s">
        <v>94</v>
      </c>
      <c r="D243" s="39">
        <v>2</v>
      </c>
      <c r="E243" s="40">
        <v>33</v>
      </c>
    </row>
    <row r="244" spans="1:7" hidden="1" x14ac:dyDescent="0.2">
      <c r="A244" s="37">
        <v>2024</v>
      </c>
      <c r="B244" s="38" t="s">
        <v>110</v>
      </c>
      <c r="C244" s="38" t="s">
        <v>94</v>
      </c>
      <c r="D244" s="39">
        <v>3</v>
      </c>
      <c r="E244" s="40">
        <v>31</v>
      </c>
    </row>
    <row r="245" spans="1:7" hidden="1" x14ac:dyDescent="0.2">
      <c r="A245" s="37">
        <v>2024</v>
      </c>
      <c r="B245" s="38" t="s">
        <v>110</v>
      </c>
      <c r="C245" s="38" t="s">
        <v>94</v>
      </c>
      <c r="D245" s="39">
        <v>4</v>
      </c>
      <c r="E245" s="40">
        <v>30</v>
      </c>
    </row>
    <row r="246" spans="1:7" hidden="1" x14ac:dyDescent="0.2">
      <c r="A246" s="37">
        <v>2024</v>
      </c>
      <c r="B246" s="38" t="s">
        <v>110</v>
      </c>
      <c r="C246" s="38" t="s">
        <v>94</v>
      </c>
      <c r="D246" s="39">
        <v>5</v>
      </c>
      <c r="E246" s="40">
        <v>25</v>
      </c>
    </row>
    <row r="247" spans="1:7" hidden="1" x14ac:dyDescent="0.2">
      <c r="A247" s="37">
        <v>2024</v>
      </c>
      <c r="B247" s="38" t="s">
        <v>110</v>
      </c>
      <c r="C247" s="38" t="s">
        <v>94</v>
      </c>
      <c r="D247" s="39">
        <v>6</v>
      </c>
      <c r="E247" s="40">
        <v>26</v>
      </c>
    </row>
    <row r="248" spans="1:7" hidden="1" x14ac:dyDescent="0.2">
      <c r="A248" s="37">
        <v>2024</v>
      </c>
      <c r="B248" s="38" t="s">
        <v>110</v>
      </c>
      <c r="C248" s="38" t="s">
        <v>94</v>
      </c>
      <c r="D248" s="39">
        <v>7</v>
      </c>
      <c r="E248" s="40">
        <v>20</v>
      </c>
    </row>
    <row r="249" spans="1:7" hidden="1" x14ac:dyDescent="0.2">
      <c r="A249" s="37">
        <v>2024</v>
      </c>
      <c r="B249" s="38" t="s">
        <v>110</v>
      </c>
      <c r="C249" s="38" t="s">
        <v>94</v>
      </c>
      <c r="D249" s="39">
        <v>8</v>
      </c>
      <c r="E249" s="40">
        <v>23</v>
      </c>
    </row>
    <row r="250" spans="1:7" hidden="1" x14ac:dyDescent="0.2">
      <c r="A250" s="37">
        <v>2024</v>
      </c>
      <c r="B250" s="38" t="s">
        <v>110</v>
      </c>
      <c r="C250" s="38" t="s">
        <v>94</v>
      </c>
      <c r="D250" s="39">
        <v>9</v>
      </c>
      <c r="E250" s="40">
        <v>29</v>
      </c>
    </row>
    <row r="251" spans="1:7" hidden="1" x14ac:dyDescent="0.2">
      <c r="A251" s="37">
        <v>2024</v>
      </c>
      <c r="B251" s="38" t="s">
        <v>110</v>
      </c>
      <c r="C251" s="38" t="s">
        <v>94</v>
      </c>
      <c r="D251" s="39">
        <v>10</v>
      </c>
      <c r="E251" s="40">
        <v>18</v>
      </c>
    </row>
    <row r="252" spans="1:7" x14ac:dyDescent="0.2">
      <c r="A252" s="37">
        <v>2024</v>
      </c>
      <c r="B252" s="38" t="s">
        <v>110</v>
      </c>
      <c r="C252" s="38" t="s">
        <v>102</v>
      </c>
      <c r="D252" s="39">
        <v>1</v>
      </c>
      <c r="E252" s="40">
        <v>1142</v>
      </c>
      <c r="F252" s="24">
        <f>'Populations decile 1'!E252</f>
        <v>169233</v>
      </c>
      <c r="G252">
        <f>E252/F252</f>
        <v>6.7480928660485842E-3</v>
      </c>
    </row>
    <row r="253" spans="1:7" hidden="1" x14ac:dyDescent="0.2">
      <c r="A253" s="37">
        <v>2024</v>
      </c>
      <c r="B253" s="38" t="s">
        <v>110</v>
      </c>
      <c r="C253" s="38" t="s">
        <v>95</v>
      </c>
      <c r="D253" s="39">
        <v>2</v>
      </c>
      <c r="E253" s="40">
        <v>41</v>
      </c>
    </row>
    <row r="254" spans="1:7" hidden="1" x14ac:dyDescent="0.2">
      <c r="A254" s="37">
        <v>2024</v>
      </c>
      <c r="B254" s="38" t="s">
        <v>110</v>
      </c>
      <c r="C254" s="38" t="s">
        <v>95</v>
      </c>
      <c r="D254" s="39">
        <v>3</v>
      </c>
      <c r="E254" s="40">
        <v>50</v>
      </c>
    </row>
    <row r="255" spans="1:7" hidden="1" x14ac:dyDescent="0.2">
      <c r="A255" s="37">
        <v>2024</v>
      </c>
      <c r="B255" s="38" t="s">
        <v>110</v>
      </c>
      <c r="C255" s="38" t="s">
        <v>95</v>
      </c>
      <c r="D255" s="39">
        <v>4</v>
      </c>
      <c r="E255" s="40">
        <v>22</v>
      </c>
    </row>
    <row r="256" spans="1:7" hidden="1" x14ac:dyDescent="0.2">
      <c r="A256" s="37">
        <v>2024</v>
      </c>
      <c r="B256" s="38" t="s">
        <v>110</v>
      </c>
      <c r="C256" s="38" t="s">
        <v>95</v>
      </c>
      <c r="D256" s="39">
        <v>5</v>
      </c>
      <c r="E256" s="40">
        <v>44</v>
      </c>
    </row>
    <row r="257" spans="1:7" hidden="1" x14ac:dyDescent="0.2">
      <c r="A257" s="37">
        <v>2024</v>
      </c>
      <c r="B257" s="38" t="s">
        <v>110</v>
      </c>
      <c r="C257" s="38" t="s">
        <v>95</v>
      </c>
      <c r="D257" s="39">
        <v>6</v>
      </c>
      <c r="E257" s="40">
        <v>39</v>
      </c>
    </row>
    <row r="258" spans="1:7" hidden="1" x14ac:dyDescent="0.2">
      <c r="A258" s="37">
        <v>2024</v>
      </c>
      <c r="B258" s="38" t="s">
        <v>110</v>
      </c>
      <c r="C258" s="38" t="s">
        <v>95</v>
      </c>
      <c r="D258" s="39">
        <v>7</v>
      </c>
      <c r="E258" s="40">
        <v>29</v>
      </c>
    </row>
    <row r="259" spans="1:7" hidden="1" x14ac:dyDescent="0.2">
      <c r="A259" s="37">
        <v>2024</v>
      </c>
      <c r="B259" s="38" t="s">
        <v>110</v>
      </c>
      <c r="C259" s="38" t="s">
        <v>95</v>
      </c>
      <c r="D259" s="39">
        <v>8</v>
      </c>
      <c r="E259" s="40">
        <v>21</v>
      </c>
    </row>
    <row r="260" spans="1:7" hidden="1" x14ac:dyDescent="0.2">
      <c r="A260" s="37">
        <v>2024</v>
      </c>
      <c r="B260" s="38" t="s">
        <v>110</v>
      </c>
      <c r="C260" s="38" t="s">
        <v>95</v>
      </c>
      <c r="D260" s="39">
        <v>9</v>
      </c>
      <c r="E260" s="40">
        <v>34</v>
      </c>
    </row>
    <row r="261" spans="1:7" hidden="1" x14ac:dyDescent="0.2">
      <c r="A261" s="37">
        <v>2024</v>
      </c>
      <c r="B261" s="38" t="s">
        <v>110</v>
      </c>
      <c r="C261" s="38" t="s">
        <v>95</v>
      </c>
      <c r="D261" s="39">
        <v>10</v>
      </c>
      <c r="E261" s="40">
        <v>17</v>
      </c>
    </row>
    <row r="262" spans="1:7" x14ac:dyDescent="0.2">
      <c r="A262" s="37">
        <v>2024</v>
      </c>
      <c r="B262" s="38" t="s">
        <v>89</v>
      </c>
      <c r="C262" s="38" t="s">
        <v>103</v>
      </c>
      <c r="D262" s="39">
        <v>1</v>
      </c>
      <c r="E262" s="40">
        <v>2471</v>
      </c>
      <c r="F262" s="24">
        <f>'Populations decile 1'!E262</f>
        <v>146972</v>
      </c>
      <c r="G262">
        <f>E262/F262</f>
        <v>1.68127262335683E-2</v>
      </c>
    </row>
    <row r="263" spans="1:7" hidden="1" x14ac:dyDescent="0.2">
      <c r="A263" s="37">
        <v>2024</v>
      </c>
      <c r="B263" s="38" t="s">
        <v>110</v>
      </c>
      <c r="C263" s="38" t="s">
        <v>96</v>
      </c>
      <c r="D263" s="39">
        <v>2</v>
      </c>
      <c r="E263" s="40">
        <v>67</v>
      </c>
    </row>
    <row r="264" spans="1:7" hidden="1" x14ac:dyDescent="0.2">
      <c r="A264" s="37">
        <v>2024</v>
      </c>
      <c r="B264" s="38" t="s">
        <v>110</v>
      </c>
      <c r="C264" s="38" t="s">
        <v>96</v>
      </c>
      <c r="D264" s="39">
        <v>3</v>
      </c>
      <c r="E264" s="40">
        <v>76</v>
      </c>
    </row>
    <row r="265" spans="1:7" hidden="1" x14ac:dyDescent="0.2">
      <c r="A265" s="37">
        <v>2024</v>
      </c>
      <c r="B265" s="38" t="s">
        <v>110</v>
      </c>
      <c r="C265" s="38" t="s">
        <v>96</v>
      </c>
      <c r="D265" s="39">
        <v>4</v>
      </c>
      <c r="E265" s="40">
        <v>52</v>
      </c>
    </row>
    <row r="266" spans="1:7" hidden="1" x14ac:dyDescent="0.2">
      <c r="A266" s="37">
        <v>2024</v>
      </c>
      <c r="B266" s="38" t="s">
        <v>110</v>
      </c>
      <c r="C266" s="38" t="s">
        <v>96</v>
      </c>
      <c r="D266" s="39">
        <v>5</v>
      </c>
      <c r="E266" s="40">
        <v>53</v>
      </c>
    </row>
    <row r="267" spans="1:7" hidden="1" x14ac:dyDescent="0.2">
      <c r="A267" s="37">
        <v>2024</v>
      </c>
      <c r="B267" s="38" t="s">
        <v>110</v>
      </c>
      <c r="C267" s="38" t="s">
        <v>96</v>
      </c>
      <c r="D267" s="39">
        <v>6</v>
      </c>
      <c r="E267" s="40">
        <v>45</v>
      </c>
    </row>
    <row r="268" spans="1:7" hidden="1" x14ac:dyDescent="0.2">
      <c r="A268" s="37">
        <v>2024</v>
      </c>
      <c r="B268" s="38" t="s">
        <v>110</v>
      </c>
      <c r="C268" s="38" t="s">
        <v>96</v>
      </c>
      <c r="D268" s="39">
        <v>7</v>
      </c>
      <c r="E268" s="40">
        <v>39</v>
      </c>
    </row>
    <row r="269" spans="1:7" hidden="1" x14ac:dyDescent="0.2">
      <c r="A269" s="37">
        <v>2024</v>
      </c>
      <c r="B269" s="38" t="s">
        <v>110</v>
      </c>
      <c r="C269" s="38" t="s">
        <v>96</v>
      </c>
      <c r="D269" s="39">
        <v>8</v>
      </c>
      <c r="E269" s="40">
        <v>39</v>
      </c>
    </row>
    <row r="270" spans="1:7" hidden="1" x14ac:dyDescent="0.2">
      <c r="A270" s="37">
        <v>2024</v>
      </c>
      <c r="B270" s="38" t="s">
        <v>110</v>
      </c>
      <c r="C270" s="38" t="s">
        <v>96</v>
      </c>
      <c r="D270" s="39">
        <v>9</v>
      </c>
      <c r="E270" s="40">
        <v>28</v>
      </c>
    </row>
    <row r="271" spans="1:7" hidden="1" x14ac:dyDescent="0.2">
      <c r="A271" s="37">
        <v>2024</v>
      </c>
      <c r="B271" s="38" t="s">
        <v>110</v>
      </c>
      <c r="C271" s="38" t="s">
        <v>96</v>
      </c>
      <c r="D271" s="39">
        <v>10</v>
      </c>
      <c r="E271" s="40">
        <v>20</v>
      </c>
    </row>
    <row r="272" spans="1:7" x14ac:dyDescent="0.2">
      <c r="A272" s="37">
        <v>2024</v>
      </c>
      <c r="B272" s="38" t="s">
        <v>110</v>
      </c>
      <c r="C272" s="38" t="s">
        <v>103</v>
      </c>
      <c r="D272" s="39">
        <v>1</v>
      </c>
      <c r="E272" s="40">
        <v>1571</v>
      </c>
      <c r="F272" s="24">
        <f>'Populations decile 1'!E272</f>
        <v>148924</v>
      </c>
      <c r="G272">
        <f>E272/F272</f>
        <v>1.0549004861540114E-2</v>
      </c>
    </row>
    <row r="273" spans="1:7" hidden="1" x14ac:dyDescent="0.2">
      <c r="A273" s="37">
        <v>2024</v>
      </c>
      <c r="B273" s="38" t="s">
        <v>110</v>
      </c>
      <c r="C273" s="38" t="s">
        <v>97</v>
      </c>
      <c r="D273" s="39">
        <v>2</v>
      </c>
      <c r="E273" s="40">
        <v>122</v>
      </c>
    </row>
    <row r="274" spans="1:7" hidden="1" x14ac:dyDescent="0.2">
      <c r="A274" s="37">
        <v>2024</v>
      </c>
      <c r="B274" s="38" t="s">
        <v>110</v>
      </c>
      <c r="C274" s="38" t="s">
        <v>97</v>
      </c>
      <c r="D274" s="39">
        <v>3</v>
      </c>
      <c r="E274" s="40">
        <v>114</v>
      </c>
    </row>
    <row r="275" spans="1:7" hidden="1" x14ac:dyDescent="0.2">
      <c r="A275" s="37">
        <v>2024</v>
      </c>
      <c r="B275" s="38" t="s">
        <v>110</v>
      </c>
      <c r="C275" s="38" t="s">
        <v>97</v>
      </c>
      <c r="D275" s="39">
        <v>4</v>
      </c>
      <c r="E275" s="40">
        <v>87</v>
      </c>
    </row>
    <row r="276" spans="1:7" hidden="1" x14ac:dyDescent="0.2">
      <c r="A276" s="37">
        <v>2024</v>
      </c>
      <c r="B276" s="38" t="s">
        <v>110</v>
      </c>
      <c r="C276" s="38" t="s">
        <v>97</v>
      </c>
      <c r="D276" s="39">
        <v>5</v>
      </c>
      <c r="E276" s="40">
        <v>76</v>
      </c>
    </row>
    <row r="277" spans="1:7" hidden="1" x14ac:dyDescent="0.2">
      <c r="A277" s="37">
        <v>2024</v>
      </c>
      <c r="B277" s="38" t="s">
        <v>110</v>
      </c>
      <c r="C277" s="38" t="s">
        <v>97</v>
      </c>
      <c r="D277" s="39">
        <v>6</v>
      </c>
      <c r="E277" s="40">
        <v>68</v>
      </c>
    </row>
    <row r="278" spans="1:7" hidden="1" x14ac:dyDescent="0.2">
      <c r="A278" s="37">
        <v>2024</v>
      </c>
      <c r="B278" s="38" t="s">
        <v>110</v>
      </c>
      <c r="C278" s="38" t="s">
        <v>97</v>
      </c>
      <c r="D278" s="39">
        <v>7</v>
      </c>
      <c r="E278" s="40">
        <v>58</v>
      </c>
    </row>
    <row r="279" spans="1:7" hidden="1" x14ac:dyDescent="0.2">
      <c r="A279" s="37">
        <v>2024</v>
      </c>
      <c r="B279" s="38" t="s">
        <v>110</v>
      </c>
      <c r="C279" s="38" t="s">
        <v>97</v>
      </c>
      <c r="D279" s="39">
        <v>8</v>
      </c>
      <c r="E279" s="40">
        <v>61</v>
      </c>
    </row>
    <row r="280" spans="1:7" hidden="1" x14ac:dyDescent="0.2">
      <c r="A280" s="37">
        <v>2024</v>
      </c>
      <c r="B280" s="38" t="s">
        <v>110</v>
      </c>
      <c r="C280" s="38" t="s">
        <v>97</v>
      </c>
      <c r="D280" s="39">
        <v>9</v>
      </c>
      <c r="E280" s="40">
        <v>57</v>
      </c>
    </row>
    <row r="281" spans="1:7" hidden="1" x14ac:dyDescent="0.2">
      <c r="A281" s="37">
        <v>2024</v>
      </c>
      <c r="B281" s="38" t="s">
        <v>110</v>
      </c>
      <c r="C281" s="38" t="s">
        <v>97</v>
      </c>
      <c r="D281" s="39">
        <v>10</v>
      </c>
      <c r="E281" s="40">
        <v>45</v>
      </c>
    </row>
    <row r="282" spans="1:7" x14ac:dyDescent="0.2">
      <c r="A282" s="37">
        <v>2024</v>
      </c>
      <c r="B282" s="38" t="s">
        <v>89</v>
      </c>
      <c r="C282" s="38" t="s">
        <v>104</v>
      </c>
      <c r="D282" s="39">
        <v>1</v>
      </c>
      <c r="E282" s="40">
        <v>3003</v>
      </c>
      <c r="F282" s="24">
        <f>'Populations decile 1'!E282</f>
        <v>116491</v>
      </c>
      <c r="G282">
        <f>E282/F282</f>
        <v>2.5778815530813539E-2</v>
      </c>
    </row>
    <row r="283" spans="1:7" hidden="1" x14ac:dyDescent="0.2">
      <c r="A283" s="37">
        <v>2024</v>
      </c>
      <c r="B283" s="38" t="s">
        <v>110</v>
      </c>
      <c r="C283" s="38" t="s">
        <v>98</v>
      </c>
      <c r="D283" s="39">
        <v>2</v>
      </c>
      <c r="E283" s="40">
        <v>208</v>
      </c>
    </row>
    <row r="284" spans="1:7" hidden="1" x14ac:dyDescent="0.2">
      <c r="A284" s="37">
        <v>2024</v>
      </c>
      <c r="B284" s="38" t="s">
        <v>110</v>
      </c>
      <c r="C284" s="38" t="s">
        <v>98</v>
      </c>
      <c r="D284" s="39">
        <v>3</v>
      </c>
      <c r="E284" s="40">
        <v>181</v>
      </c>
    </row>
    <row r="285" spans="1:7" hidden="1" x14ac:dyDescent="0.2">
      <c r="A285" s="37">
        <v>2024</v>
      </c>
      <c r="B285" s="38" t="s">
        <v>110</v>
      </c>
      <c r="C285" s="38" t="s">
        <v>98</v>
      </c>
      <c r="D285" s="39">
        <v>4</v>
      </c>
      <c r="E285" s="40">
        <v>158</v>
      </c>
    </row>
    <row r="286" spans="1:7" hidden="1" x14ac:dyDescent="0.2">
      <c r="A286" s="37">
        <v>2024</v>
      </c>
      <c r="B286" s="38" t="s">
        <v>110</v>
      </c>
      <c r="C286" s="38" t="s">
        <v>98</v>
      </c>
      <c r="D286" s="39">
        <v>5</v>
      </c>
      <c r="E286" s="40">
        <v>138</v>
      </c>
    </row>
    <row r="287" spans="1:7" hidden="1" x14ac:dyDescent="0.2">
      <c r="A287" s="37">
        <v>2024</v>
      </c>
      <c r="B287" s="38" t="s">
        <v>110</v>
      </c>
      <c r="C287" s="38" t="s">
        <v>98</v>
      </c>
      <c r="D287" s="39">
        <v>6</v>
      </c>
      <c r="E287" s="40">
        <v>110</v>
      </c>
    </row>
    <row r="288" spans="1:7" hidden="1" x14ac:dyDescent="0.2">
      <c r="A288" s="37">
        <v>2024</v>
      </c>
      <c r="B288" s="38" t="s">
        <v>110</v>
      </c>
      <c r="C288" s="38" t="s">
        <v>98</v>
      </c>
      <c r="D288" s="39">
        <v>7</v>
      </c>
      <c r="E288" s="40">
        <v>112</v>
      </c>
    </row>
    <row r="289" spans="1:10" hidden="1" x14ac:dyDescent="0.2">
      <c r="A289" s="37">
        <v>2024</v>
      </c>
      <c r="B289" s="38" t="s">
        <v>110</v>
      </c>
      <c r="C289" s="38" t="s">
        <v>98</v>
      </c>
      <c r="D289" s="39">
        <v>8</v>
      </c>
      <c r="E289" s="40">
        <v>94</v>
      </c>
    </row>
    <row r="290" spans="1:10" hidden="1" x14ac:dyDescent="0.2">
      <c r="A290" s="37">
        <v>2024</v>
      </c>
      <c r="B290" s="38" t="s">
        <v>110</v>
      </c>
      <c r="C290" s="38" t="s">
        <v>98</v>
      </c>
      <c r="D290" s="39">
        <v>9</v>
      </c>
      <c r="E290" s="40">
        <v>100</v>
      </c>
    </row>
    <row r="291" spans="1:10" hidden="1" x14ac:dyDescent="0.2">
      <c r="A291" s="37">
        <v>2024</v>
      </c>
      <c r="B291" s="38" t="s">
        <v>110</v>
      </c>
      <c r="C291" s="38" t="s">
        <v>98</v>
      </c>
      <c r="D291" s="39">
        <v>10</v>
      </c>
      <c r="E291" s="40">
        <v>73</v>
      </c>
    </row>
    <row r="292" spans="1:10" x14ac:dyDescent="0.2">
      <c r="A292" s="37">
        <v>2024</v>
      </c>
      <c r="B292" s="38" t="s">
        <v>110</v>
      </c>
      <c r="C292" s="38" t="s">
        <v>104</v>
      </c>
      <c r="D292" s="39">
        <v>1</v>
      </c>
      <c r="E292" s="40">
        <v>2020</v>
      </c>
      <c r="F292" s="24">
        <f>'Populations decile 1'!E292</f>
        <v>118806</v>
      </c>
      <c r="G292">
        <f>E292/F292</f>
        <v>1.7002508290827063E-2</v>
      </c>
    </row>
    <row r="293" spans="1:10" hidden="1" x14ac:dyDescent="0.2">
      <c r="A293" s="37">
        <v>2024</v>
      </c>
      <c r="B293" s="38" t="s">
        <v>110</v>
      </c>
      <c r="C293" s="38" t="s">
        <v>99</v>
      </c>
      <c r="D293" s="39">
        <v>2</v>
      </c>
      <c r="E293" s="40">
        <v>296</v>
      </c>
    </row>
    <row r="294" spans="1:10" hidden="1" x14ac:dyDescent="0.2">
      <c r="A294" s="37">
        <v>2024</v>
      </c>
      <c r="B294" s="38" t="s">
        <v>110</v>
      </c>
      <c r="C294" s="38" t="s">
        <v>99</v>
      </c>
      <c r="D294" s="39">
        <v>3</v>
      </c>
      <c r="E294" s="40">
        <v>250</v>
      </c>
    </row>
    <row r="295" spans="1:10" hidden="1" x14ac:dyDescent="0.2">
      <c r="A295" s="37">
        <v>2024</v>
      </c>
      <c r="B295" s="38" t="s">
        <v>110</v>
      </c>
      <c r="C295" s="38" t="s">
        <v>99</v>
      </c>
      <c r="D295" s="39">
        <v>4</v>
      </c>
      <c r="E295" s="40">
        <v>237</v>
      </c>
    </row>
    <row r="296" spans="1:10" hidden="1" x14ac:dyDescent="0.2">
      <c r="A296" s="37">
        <v>2024</v>
      </c>
      <c r="B296" s="38" t="s">
        <v>110</v>
      </c>
      <c r="C296" s="38" t="s">
        <v>99</v>
      </c>
      <c r="D296" s="39">
        <v>5</v>
      </c>
      <c r="E296" s="40">
        <v>196</v>
      </c>
    </row>
    <row r="297" spans="1:10" hidden="1" x14ac:dyDescent="0.2">
      <c r="A297" s="37">
        <v>2024</v>
      </c>
      <c r="B297" s="38" t="s">
        <v>110</v>
      </c>
      <c r="C297" s="38" t="s">
        <v>99</v>
      </c>
      <c r="D297" s="39">
        <v>6</v>
      </c>
      <c r="E297" s="40">
        <v>187</v>
      </c>
    </row>
    <row r="298" spans="1:10" hidden="1" x14ac:dyDescent="0.2">
      <c r="A298" s="37">
        <v>2024</v>
      </c>
      <c r="B298" s="38" t="s">
        <v>110</v>
      </c>
      <c r="C298" s="38" t="s">
        <v>99</v>
      </c>
      <c r="D298" s="39">
        <v>7</v>
      </c>
      <c r="E298" s="40">
        <v>158</v>
      </c>
    </row>
    <row r="299" spans="1:10" hidden="1" x14ac:dyDescent="0.2">
      <c r="A299" s="37">
        <v>2024</v>
      </c>
      <c r="B299" s="38" t="s">
        <v>110</v>
      </c>
      <c r="C299" s="38" t="s">
        <v>99</v>
      </c>
      <c r="D299" s="39">
        <v>8</v>
      </c>
      <c r="E299" s="40">
        <v>140</v>
      </c>
    </row>
    <row r="300" spans="1:10" hidden="1" x14ac:dyDescent="0.2">
      <c r="A300" s="37">
        <v>2024</v>
      </c>
      <c r="B300" s="38" t="s">
        <v>110</v>
      </c>
      <c r="C300" s="38" t="s">
        <v>99</v>
      </c>
      <c r="D300" s="39">
        <v>9</v>
      </c>
      <c r="E300" s="40">
        <v>123</v>
      </c>
    </row>
    <row r="301" spans="1:10" hidden="1" x14ac:dyDescent="0.2">
      <c r="A301" s="37">
        <v>2024</v>
      </c>
      <c r="B301" s="38" t="s">
        <v>110</v>
      </c>
      <c r="C301" s="38" t="s">
        <v>99</v>
      </c>
      <c r="D301" s="39">
        <v>10</v>
      </c>
      <c r="E301" s="40">
        <v>111</v>
      </c>
    </row>
    <row r="302" spans="1:10" x14ac:dyDescent="0.2">
      <c r="A302" s="37">
        <v>2024</v>
      </c>
      <c r="B302" s="38" t="s">
        <v>89</v>
      </c>
      <c r="C302" s="38" t="s">
        <v>105</v>
      </c>
      <c r="D302" s="39">
        <v>1</v>
      </c>
      <c r="E302" s="40">
        <v>3485</v>
      </c>
      <c r="F302" s="24">
        <f>'Populations decile 1'!E302</f>
        <v>88224</v>
      </c>
      <c r="G302">
        <f>E302/F302</f>
        <v>3.9501722887196229E-2</v>
      </c>
      <c r="H302" s="24">
        <f>SUM(E302+E322+E342+E362+E382)</f>
        <v>16818</v>
      </c>
      <c r="I302" s="24">
        <f>SUM(F302+F322+F342+F362+F382)</f>
        <v>216840</v>
      </c>
      <c r="J302">
        <f>H302/I302</f>
        <v>7.7559490868843381E-2</v>
      </c>
    </row>
    <row r="303" spans="1:10" hidden="1" x14ac:dyDescent="0.2">
      <c r="A303" s="37">
        <v>2024</v>
      </c>
      <c r="B303" s="38" t="s">
        <v>110</v>
      </c>
      <c r="C303" s="38" t="s">
        <v>100</v>
      </c>
      <c r="D303" s="39">
        <v>2</v>
      </c>
      <c r="E303" s="40">
        <v>384</v>
      </c>
    </row>
    <row r="304" spans="1:10" hidden="1" x14ac:dyDescent="0.2">
      <c r="A304" s="37">
        <v>2024</v>
      </c>
      <c r="B304" s="38" t="s">
        <v>110</v>
      </c>
      <c r="C304" s="38" t="s">
        <v>100</v>
      </c>
      <c r="D304" s="39">
        <v>3</v>
      </c>
      <c r="E304" s="40">
        <v>358</v>
      </c>
    </row>
    <row r="305" spans="1:10" hidden="1" x14ac:dyDescent="0.2">
      <c r="A305" s="37">
        <v>2024</v>
      </c>
      <c r="B305" s="38" t="s">
        <v>110</v>
      </c>
      <c r="C305" s="38" t="s">
        <v>100</v>
      </c>
      <c r="D305" s="39">
        <v>4</v>
      </c>
      <c r="E305" s="40">
        <v>313</v>
      </c>
    </row>
    <row r="306" spans="1:10" hidden="1" x14ac:dyDescent="0.2">
      <c r="A306" s="37">
        <v>2024</v>
      </c>
      <c r="B306" s="38" t="s">
        <v>110</v>
      </c>
      <c r="C306" s="38" t="s">
        <v>100</v>
      </c>
      <c r="D306" s="39">
        <v>5</v>
      </c>
      <c r="E306" s="40">
        <v>244</v>
      </c>
    </row>
    <row r="307" spans="1:10" hidden="1" x14ac:dyDescent="0.2">
      <c r="A307" s="37">
        <v>2024</v>
      </c>
      <c r="B307" s="38" t="s">
        <v>110</v>
      </c>
      <c r="C307" s="38" t="s">
        <v>100</v>
      </c>
      <c r="D307" s="39">
        <v>6</v>
      </c>
      <c r="E307" s="40">
        <v>226</v>
      </c>
    </row>
    <row r="308" spans="1:10" hidden="1" x14ac:dyDescent="0.2">
      <c r="A308" s="37">
        <v>2024</v>
      </c>
      <c r="B308" s="38" t="s">
        <v>110</v>
      </c>
      <c r="C308" s="38" t="s">
        <v>100</v>
      </c>
      <c r="D308" s="39">
        <v>7</v>
      </c>
      <c r="E308" s="40">
        <v>218</v>
      </c>
    </row>
    <row r="309" spans="1:10" hidden="1" x14ac:dyDescent="0.2">
      <c r="A309" s="37">
        <v>2024</v>
      </c>
      <c r="B309" s="38" t="s">
        <v>110</v>
      </c>
      <c r="C309" s="38" t="s">
        <v>100</v>
      </c>
      <c r="D309" s="39">
        <v>8</v>
      </c>
      <c r="E309" s="40">
        <v>210</v>
      </c>
    </row>
    <row r="310" spans="1:10" hidden="1" x14ac:dyDescent="0.2">
      <c r="A310" s="37">
        <v>2024</v>
      </c>
      <c r="B310" s="38" t="s">
        <v>110</v>
      </c>
      <c r="C310" s="38" t="s">
        <v>100</v>
      </c>
      <c r="D310" s="39">
        <v>9</v>
      </c>
      <c r="E310" s="40">
        <v>185</v>
      </c>
    </row>
    <row r="311" spans="1:10" hidden="1" x14ac:dyDescent="0.2">
      <c r="A311" s="37">
        <v>2024</v>
      </c>
      <c r="B311" s="38" t="s">
        <v>110</v>
      </c>
      <c r="C311" s="38" t="s">
        <v>100</v>
      </c>
      <c r="D311" s="39">
        <v>10</v>
      </c>
      <c r="E311" s="40">
        <v>168</v>
      </c>
    </row>
    <row r="312" spans="1:10" x14ac:dyDescent="0.2">
      <c r="A312" s="37">
        <v>2024</v>
      </c>
      <c r="B312" s="38" t="s">
        <v>110</v>
      </c>
      <c r="C312" s="38" t="s">
        <v>105</v>
      </c>
      <c r="D312" s="39">
        <v>1</v>
      </c>
      <c r="E312" s="40">
        <v>2472</v>
      </c>
      <c r="F312" s="24">
        <f>'Populations decile 1'!E312</f>
        <v>93690</v>
      </c>
      <c r="G312">
        <f>E312/F312</f>
        <v>2.6384886327249439E-2</v>
      </c>
      <c r="H312" s="24">
        <f>E312+E332+E352+E372+E392</f>
        <v>17998</v>
      </c>
      <c r="I312" s="24">
        <f>F312+F332+F352+F372+F392</f>
        <v>273731</v>
      </c>
      <c r="J312">
        <f>H312/I312</f>
        <v>6.575068223913258E-2</v>
      </c>
    </row>
    <row r="313" spans="1:10" hidden="1" x14ac:dyDescent="0.2">
      <c r="A313" s="37">
        <v>2024</v>
      </c>
      <c r="B313" s="38" t="s">
        <v>110</v>
      </c>
      <c r="C313" s="38" t="s">
        <v>101</v>
      </c>
      <c r="D313" s="39">
        <v>2</v>
      </c>
      <c r="E313" s="40">
        <v>685</v>
      </c>
    </row>
    <row r="314" spans="1:10" hidden="1" x14ac:dyDescent="0.2">
      <c r="A314" s="37">
        <v>2024</v>
      </c>
      <c r="B314" s="38" t="s">
        <v>110</v>
      </c>
      <c r="C314" s="38" t="s">
        <v>101</v>
      </c>
      <c r="D314" s="39">
        <v>3</v>
      </c>
      <c r="E314" s="40">
        <v>574</v>
      </c>
    </row>
    <row r="315" spans="1:10" hidden="1" x14ac:dyDescent="0.2">
      <c r="A315" s="37">
        <v>2024</v>
      </c>
      <c r="B315" s="38" t="s">
        <v>110</v>
      </c>
      <c r="C315" s="38" t="s">
        <v>101</v>
      </c>
      <c r="D315" s="39">
        <v>4</v>
      </c>
      <c r="E315" s="40">
        <v>502</v>
      </c>
    </row>
    <row r="316" spans="1:10" hidden="1" x14ac:dyDescent="0.2">
      <c r="A316" s="37">
        <v>2024</v>
      </c>
      <c r="B316" s="38" t="s">
        <v>110</v>
      </c>
      <c r="C316" s="38" t="s">
        <v>101</v>
      </c>
      <c r="D316" s="39">
        <v>5</v>
      </c>
      <c r="E316" s="40">
        <v>450</v>
      </c>
    </row>
    <row r="317" spans="1:10" hidden="1" x14ac:dyDescent="0.2">
      <c r="A317" s="37">
        <v>2024</v>
      </c>
      <c r="B317" s="38" t="s">
        <v>110</v>
      </c>
      <c r="C317" s="38" t="s">
        <v>101</v>
      </c>
      <c r="D317" s="39">
        <v>6</v>
      </c>
      <c r="E317" s="40">
        <v>409</v>
      </c>
    </row>
    <row r="318" spans="1:10" hidden="1" x14ac:dyDescent="0.2">
      <c r="A318" s="37">
        <v>2024</v>
      </c>
      <c r="B318" s="38" t="s">
        <v>110</v>
      </c>
      <c r="C318" s="38" t="s">
        <v>101</v>
      </c>
      <c r="D318" s="39">
        <v>7</v>
      </c>
      <c r="E318" s="40">
        <v>428</v>
      </c>
    </row>
    <row r="319" spans="1:10" hidden="1" x14ac:dyDescent="0.2">
      <c r="A319" s="37">
        <v>2024</v>
      </c>
      <c r="B319" s="38" t="s">
        <v>110</v>
      </c>
      <c r="C319" s="38" t="s">
        <v>101</v>
      </c>
      <c r="D319" s="39">
        <v>8</v>
      </c>
      <c r="E319" s="40">
        <v>371</v>
      </c>
    </row>
    <row r="320" spans="1:10" hidden="1" x14ac:dyDescent="0.2">
      <c r="A320" s="37">
        <v>2024</v>
      </c>
      <c r="B320" s="38" t="s">
        <v>110</v>
      </c>
      <c r="C320" s="38" t="s">
        <v>101</v>
      </c>
      <c r="D320" s="39">
        <v>9</v>
      </c>
      <c r="E320" s="40">
        <v>369</v>
      </c>
    </row>
    <row r="321" spans="1:7" hidden="1" x14ac:dyDescent="0.2">
      <c r="A321" s="37">
        <v>2024</v>
      </c>
      <c r="B321" s="38" t="s">
        <v>110</v>
      </c>
      <c r="C321" s="38" t="s">
        <v>101</v>
      </c>
      <c r="D321" s="39">
        <v>10</v>
      </c>
      <c r="E321" s="40">
        <v>278</v>
      </c>
    </row>
    <row r="322" spans="1:7" x14ac:dyDescent="0.2">
      <c r="A322" s="37">
        <v>2024</v>
      </c>
      <c r="B322" s="38" t="s">
        <v>89</v>
      </c>
      <c r="C322" s="38" t="s">
        <v>106</v>
      </c>
      <c r="D322" s="39">
        <v>1</v>
      </c>
      <c r="E322" s="40">
        <v>3976</v>
      </c>
      <c r="F322" s="24">
        <f>'Populations decile 1'!E322</f>
        <v>66001</v>
      </c>
      <c r="G322">
        <f>E322/F322</f>
        <v>6.024151149225012E-2</v>
      </c>
    </row>
    <row r="323" spans="1:7" hidden="1" x14ac:dyDescent="0.2">
      <c r="A323" s="37">
        <v>2024</v>
      </c>
      <c r="B323" s="38" t="s">
        <v>110</v>
      </c>
      <c r="C323" s="38" t="s">
        <v>102</v>
      </c>
      <c r="D323" s="39">
        <v>2</v>
      </c>
      <c r="E323" s="40">
        <v>971</v>
      </c>
    </row>
    <row r="324" spans="1:7" hidden="1" x14ac:dyDescent="0.2">
      <c r="A324" s="37">
        <v>2024</v>
      </c>
      <c r="B324" s="38" t="s">
        <v>110</v>
      </c>
      <c r="C324" s="38" t="s">
        <v>102</v>
      </c>
      <c r="D324" s="39">
        <v>3</v>
      </c>
      <c r="E324" s="40">
        <v>914</v>
      </c>
    </row>
    <row r="325" spans="1:7" hidden="1" x14ac:dyDescent="0.2">
      <c r="A325" s="37">
        <v>2024</v>
      </c>
      <c r="B325" s="38" t="s">
        <v>110</v>
      </c>
      <c r="C325" s="38" t="s">
        <v>102</v>
      </c>
      <c r="D325" s="39">
        <v>4</v>
      </c>
      <c r="E325" s="40">
        <v>816</v>
      </c>
    </row>
    <row r="326" spans="1:7" hidden="1" x14ac:dyDescent="0.2">
      <c r="A326" s="37">
        <v>2024</v>
      </c>
      <c r="B326" s="38" t="s">
        <v>110</v>
      </c>
      <c r="C326" s="38" t="s">
        <v>102</v>
      </c>
      <c r="D326" s="39">
        <v>5</v>
      </c>
      <c r="E326" s="40">
        <v>747</v>
      </c>
    </row>
    <row r="327" spans="1:7" hidden="1" x14ac:dyDescent="0.2">
      <c r="A327" s="37">
        <v>2024</v>
      </c>
      <c r="B327" s="38" t="s">
        <v>110</v>
      </c>
      <c r="C327" s="38" t="s">
        <v>102</v>
      </c>
      <c r="D327" s="39">
        <v>6</v>
      </c>
      <c r="E327" s="40">
        <v>628</v>
      </c>
    </row>
    <row r="328" spans="1:7" hidden="1" x14ac:dyDescent="0.2">
      <c r="A328" s="37">
        <v>2024</v>
      </c>
      <c r="B328" s="38" t="s">
        <v>110</v>
      </c>
      <c r="C328" s="38" t="s">
        <v>102</v>
      </c>
      <c r="D328" s="39">
        <v>7</v>
      </c>
      <c r="E328" s="40">
        <v>615</v>
      </c>
    </row>
    <row r="329" spans="1:7" hidden="1" x14ac:dyDescent="0.2">
      <c r="A329" s="37">
        <v>2024</v>
      </c>
      <c r="B329" s="38" t="s">
        <v>110</v>
      </c>
      <c r="C329" s="38" t="s">
        <v>102</v>
      </c>
      <c r="D329" s="39">
        <v>8</v>
      </c>
      <c r="E329" s="40">
        <v>580</v>
      </c>
    </row>
    <row r="330" spans="1:7" hidden="1" x14ac:dyDescent="0.2">
      <c r="A330" s="37">
        <v>2024</v>
      </c>
      <c r="B330" s="38" t="s">
        <v>110</v>
      </c>
      <c r="C330" s="38" t="s">
        <v>102</v>
      </c>
      <c r="D330" s="39">
        <v>9</v>
      </c>
      <c r="E330" s="40">
        <v>553</v>
      </c>
    </row>
    <row r="331" spans="1:7" hidden="1" x14ac:dyDescent="0.2">
      <c r="A331" s="37">
        <v>2024</v>
      </c>
      <c r="B331" s="38" t="s">
        <v>110</v>
      </c>
      <c r="C331" s="38" t="s">
        <v>102</v>
      </c>
      <c r="D331" s="39">
        <v>10</v>
      </c>
      <c r="E331" s="40">
        <v>477</v>
      </c>
    </row>
    <row r="332" spans="1:7" x14ac:dyDescent="0.2">
      <c r="A332" s="37">
        <v>2024</v>
      </c>
      <c r="B332" s="38" t="s">
        <v>110</v>
      </c>
      <c r="C332" s="38" t="s">
        <v>106</v>
      </c>
      <c r="D332" s="39">
        <v>1</v>
      </c>
      <c r="E332" s="40">
        <v>3263</v>
      </c>
      <c r="F332" s="24">
        <f>'Populations decile 1'!E332</f>
        <v>77938</v>
      </c>
      <c r="G332">
        <f>E332/F332</f>
        <v>4.1866611922297209E-2</v>
      </c>
    </row>
    <row r="333" spans="1:7" hidden="1" x14ac:dyDescent="0.2">
      <c r="A333" s="37">
        <v>2024</v>
      </c>
      <c r="B333" s="38" t="s">
        <v>110</v>
      </c>
      <c r="C333" s="38" t="s">
        <v>103</v>
      </c>
      <c r="D333" s="39">
        <v>2</v>
      </c>
      <c r="E333" s="40">
        <v>1308</v>
      </c>
    </row>
    <row r="334" spans="1:7" hidden="1" x14ac:dyDescent="0.2">
      <c r="A334" s="37">
        <v>2024</v>
      </c>
      <c r="B334" s="38" t="s">
        <v>110</v>
      </c>
      <c r="C334" s="38" t="s">
        <v>103</v>
      </c>
      <c r="D334" s="39">
        <v>3</v>
      </c>
      <c r="E334" s="40">
        <v>1247</v>
      </c>
    </row>
    <row r="335" spans="1:7" hidden="1" x14ac:dyDescent="0.2">
      <c r="A335" s="37">
        <v>2024</v>
      </c>
      <c r="B335" s="38" t="s">
        <v>110</v>
      </c>
      <c r="C335" s="38" t="s">
        <v>103</v>
      </c>
      <c r="D335" s="39">
        <v>4</v>
      </c>
      <c r="E335" s="40">
        <v>1099</v>
      </c>
    </row>
    <row r="336" spans="1:7" hidden="1" x14ac:dyDescent="0.2">
      <c r="A336" s="37">
        <v>2024</v>
      </c>
      <c r="B336" s="38" t="s">
        <v>110</v>
      </c>
      <c r="C336" s="38" t="s">
        <v>103</v>
      </c>
      <c r="D336" s="39">
        <v>5</v>
      </c>
      <c r="E336" s="40">
        <v>1009</v>
      </c>
    </row>
    <row r="337" spans="1:7" hidden="1" x14ac:dyDescent="0.2">
      <c r="A337" s="37">
        <v>2024</v>
      </c>
      <c r="B337" s="38" t="s">
        <v>110</v>
      </c>
      <c r="C337" s="38" t="s">
        <v>103</v>
      </c>
      <c r="D337" s="39">
        <v>6</v>
      </c>
      <c r="E337" s="40">
        <v>957</v>
      </c>
    </row>
    <row r="338" spans="1:7" hidden="1" x14ac:dyDescent="0.2">
      <c r="A338" s="37">
        <v>2024</v>
      </c>
      <c r="B338" s="38" t="s">
        <v>110</v>
      </c>
      <c r="C338" s="38" t="s">
        <v>103</v>
      </c>
      <c r="D338" s="39">
        <v>7</v>
      </c>
      <c r="E338" s="40">
        <v>867</v>
      </c>
    </row>
    <row r="339" spans="1:7" hidden="1" x14ac:dyDescent="0.2">
      <c r="A339" s="37">
        <v>2024</v>
      </c>
      <c r="B339" s="38" t="s">
        <v>110</v>
      </c>
      <c r="C339" s="38" t="s">
        <v>103</v>
      </c>
      <c r="D339" s="39">
        <v>8</v>
      </c>
      <c r="E339" s="40">
        <v>822</v>
      </c>
    </row>
    <row r="340" spans="1:7" hidden="1" x14ac:dyDescent="0.2">
      <c r="A340" s="37">
        <v>2024</v>
      </c>
      <c r="B340" s="38" t="s">
        <v>110</v>
      </c>
      <c r="C340" s="38" t="s">
        <v>103</v>
      </c>
      <c r="D340" s="39">
        <v>9</v>
      </c>
      <c r="E340" s="40">
        <v>740</v>
      </c>
    </row>
    <row r="341" spans="1:7" hidden="1" x14ac:dyDescent="0.2">
      <c r="A341" s="37">
        <v>2024</v>
      </c>
      <c r="B341" s="38" t="s">
        <v>110</v>
      </c>
      <c r="C341" s="38" t="s">
        <v>103</v>
      </c>
      <c r="D341" s="39">
        <v>10</v>
      </c>
      <c r="E341" s="40">
        <v>656</v>
      </c>
    </row>
    <row r="342" spans="1:7" x14ac:dyDescent="0.2">
      <c r="A342" s="37">
        <v>2024</v>
      </c>
      <c r="B342" s="38" t="s">
        <v>89</v>
      </c>
      <c r="C342" s="38" t="s">
        <v>107</v>
      </c>
      <c r="D342" s="39">
        <v>1</v>
      </c>
      <c r="E342" s="40">
        <v>3683</v>
      </c>
      <c r="F342" s="24">
        <f>'Populations decile 1'!E342</f>
        <v>35605</v>
      </c>
      <c r="G342">
        <f>E342/F342</f>
        <v>0.10344052801572813</v>
      </c>
    </row>
    <row r="343" spans="1:7" hidden="1" x14ac:dyDescent="0.2">
      <c r="A343" s="37">
        <v>2024</v>
      </c>
      <c r="B343" s="38" t="s">
        <v>110</v>
      </c>
      <c r="C343" s="38" t="s">
        <v>104</v>
      </c>
      <c r="D343" s="39">
        <v>2</v>
      </c>
      <c r="E343" s="40">
        <v>1722</v>
      </c>
    </row>
    <row r="344" spans="1:7" hidden="1" x14ac:dyDescent="0.2">
      <c r="A344" s="37">
        <v>2024</v>
      </c>
      <c r="B344" s="38" t="s">
        <v>110</v>
      </c>
      <c r="C344" s="38" t="s">
        <v>104</v>
      </c>
      <c r="D344" s="39">
        <v>3</v>
      </c>
      <c r="E344" s="40">
        <v>1629</v>
      </c>
    </row>
    <row r="345" spans="1:7" hidden="1" x14ac:dyDescent="0.2">
      <c r="A345" s="37">
        <v>2024</v>
      </c>
      <c r="B345" s="38" t="s">
        <v>110</v>
      </c>
      <c r="C345" s="38" t="s">
        <v>104</v>
      </c>
      <c r="D345" s="39">
        <v>4</v>
      </c>
      <c r="E345" s="40">
        <v>1508</v>
      </c>
    </row>
    <row r="346" spans="1:7" hidden="1" x14ac:dyDescent="0.2">
      <c r="A346" s="37">
        <v>2024</v>
      </c>
      <c r="B346" s="38" t="s">
        <v>110</v>
      </c>
      <c r="C346" s="38" t="s">
        <v>104</v>
      </c>
      <c r="D346" s="39">
        <v>5</v>
      </c>
      <c r="E346" s="40">
        <v>1351</v>
      </c>
    </row>
    <row r="347" spans="1:7" hidden="1" x14ac:dyDescent="0.2">
      <c r="A347" s="37">
        <v>2024</v>
      </c>
      <c r="B347" s="38" t="s">
        <v>110</v>
      </c>
      <c r="C347" s="38" t="s">
        <v>104</v>
      </c>
      <c r="D347" s="39">
        <v>6</v>
      </c>
      <c r="E347" s="40">
        <v>1339</v>
      </c>
    </row>
    <row r="348" spans="1:7" hidden="1" x14ac:dyDescent="0.2">
      <c r="A348" s="37">
        <v>2024</v>
      </c>
      <c r="B348" s="38" t="s">
        <v>110</v>
      </c>
      <c r="C348" s="38" t="s">
        <v>104</v>
      </c>
      <c r="D348" s="39">
        <v>7</v>
      </c>
      <c r="E348" s="40">
        <v>1176</v>
      </c>
    </row>
    <row r="349" spans="1:7" hidden="1" x14ac:dyDescent="0.2">
      <c r="A349" s="37">
        <v>2024</v>
      </c>
      <c r="B349" s="38" t="s">
        <v>110</v>
      </c>
      <c r="C349" s="38" t="s">
        <v>104</v>
      </c>
      <c r="D349" s="39">
        <v>8</v>
      </c>
      <c r="E349" s="40">
        <v>1165</v>
      </c>
    </row>
    <row r="350" spans="1:7" hidden="1" x14ac:dyDescent="0.2">
      <c r="A350" s="37">
        <v>2024</v>
      </c>
      <c r="B350" s="38" t="s">
        <v>110</v>
      </c>
      <c r="C350" s="38" t="s">
        <v>104</v>
      </c>
      <c r="D350" s="39">
        <v>9</v>
      </c>
      <c r="E350" s="40">
        <v>1068</v>
      </c>
    </row>
    <row r="351" spans="1:7" hidden="1" x14ac:dyDescent="0.2">
      <c r="A351" s="37">
        <v>2024</v>
      </c>
      <c r="B351" s="38" t="s">
        <v>110</v>
      </c>
      <c r="C351" s="38" t="s">
        <v>104</v>
      </c>
      <c r="D351" s="39">
        <v>10</v>
      </c>
      <c r="E351" s="40">
        <v>894</v>
      </c>
    </row>
    <row r="352" spans="1:7" x14ac:dyDescent="0.2">
      <c r="A352" s="37">
        <v>2024</v>
      </c>
      <c r="B352" s="38" t="s">
        <v>110</v>
      </c>
      <c r="C352" s="38" t="s">
        <v>107</v>
      </c>
      <c r="D352" s="39">
        <v>1</v>
      </c>
      <c r="E352" s="40">
        <v>3662</v>
      </c>
      <c r="F352" s="24">
        <f>'Populations decile 1'!E352</f>
        <v>49917</v>
      </c>
      <c r="G352">
        <f>E352/F352</f>
        <v>7.3361780555722497E-2</v>
      </c>
    </row>
    <row r="353" spans="1:7" hidden="1" x14ac:dyDescent="0.2">
      <c r="A353" s="37">
        <v>2024</v>
      </c>
      <c r="B353" s="38" t="s">
        <v>110</v>
      </c>
      <c r="C353" s="38" t="s">
        <v>105</v>
      </c>
      <c r="D353" s="39">
        <v>2</v>
      </c>
      <c r="E353" s="40">
        <v>2294</v>
      </c>
    </row>
    <row r="354" spans="1:7" hidden="1" x14ac:dyDescent="0.2">
      <c r="A354" s="37">
        <v>2024</v>
      </c>
      <c r="B354" s="38" t="s">
        <v>110</v>
      </c>
      <c r="C354" s="38" t="s">
        <v>105</v>
      </c>
      <c r="D354" s="39">
        <v>3</v>
      </c>
      <c r="E354" s="40">
        <v>2137</v>
      </c>
    </row>
    <row r="355" spans="1:7" hidden="1" x14ac:dyDescent="0.2">
      <c r="A355" s="37">
        <v>2024</v>
      </c>
      <c r="B355" s="38" t="s">
        <v>110</v>
      </c>
      <c r="C355" s="38" t="s">
        <v>105</v>
      </c>
      <c r="D355" s="39">
        <v>4</v>
      </c>
      <c r="E355" s="40">
        <v>2101</v>
      </c>
    </row>
    <row r="356" spans="1:7" hidden="1" x14ac:dyDescent="0.2">
      <c r="A356" s="37">
        <v>2024</v>
      </c>
      <c r="B356" s="38" t="s">
        <v>110</v>
      </c>
      <c r="C356" s="38" t="s">
        <v>105</v>
      </c>
      <c r="D356" s="39">
        <v>5</v>
      </c>
      <c r="E356" s="40">
        <v>1996</v>
      </c>
    </row>
    <row r="357" spans="1:7" hidden="1" x14ac:dyDescent="0.2">
      <c r="A357" s="37">
        <v>2024</v>
      </c>
      <c r="B357" s="38" t="s">
        <v>110</v>
      </c>
      <c r="C357" s="38" t="s">
        <v>105</v>
      </c>
      <c r="D357" s="39">
        <v>6</v>
      </c>
      <c r="E357" s="40">
        <v>1998</v>
      </c>
    </row>
    <row r="358" spans="1:7" hidden="1" x14ac:dyDescent="0.2">
      <c r="A358" s="37">
        <v>2024</v>
      </c>
      <c r="B358" s="38" t="s">
        <v>110</v>
      </c>
      <c r="C358" s="38" t="s">
        <v>105</v>
      </c>
      <c r="D358" s="39">
        <v>7</v>
      </c>
      <c r="E358" s="40">
        <v>1828</v>
      </c>
    </row>
    <row r="359" spans="1:7" hidden="1" x14ac:dyDescent="0.2">
      <c r="A359" s="37">
        <v>2024</v>
      </c>
      <c r="B359" s="38" t="s">
        <v>110</v>
      </c>
      <c r="C359" s="38" t="s">
        <v>105</v>
      </c>
      <c r="D359" s="39">
        <v>8</v>
      </c>
      <c r="E359" s="40">
        <v>1815</v>
      </c>
    </row>
    <row r="360" spans="1:7" hidden="1" x14ac:dyDescent="0.2">
      <c r="A360" s="37">
        <v>2024</v>
      </c>
      <c r="B360" s="38" t="s">
        <v>110</v>
      </c>
      <c r="C360" s="38" t="s">
        <v>105</v>
      </c>
      <c r="D360" s="39">
        <v>9</v>
      </c>
      <c r="E360" s="40">
        <v>1640</v>
      </c>
    </row>
    <row r="361" spans="1:7" hidden="1" x14ac:dyDescent="0.2">
      <c r="A361" s="37">
        <v>2024</v>
      </c>
      <c r="B361" s="38" t="s">
        <v>110</v>
      </c>
      <c r="C361" s="38" t="s">
        <v>105</v>
      </c>
      <c r="D361" s="39">
        <v>10</v>
      </c>
      <c r="E361" s="40">
        <v>1475</v>
      </c>
    </row>
    <row r="362" spans="1:7" x14ac:dyDescent="0.2">
      <c r="A362" s="37">
        <v>2024</v>
      </c>
      <c r="B362" s="38" t="s">
        <v>89</v>
      </c>
      <c r="C362" s="38" t="s">
        <v>108</v>
      </c>
      <c r="D362" s="39">
        <v>1</v>
      </c>
      <c r="E362" s="40">
        <v>3232</v>
      </c>
      <c r="F362" s="24">
        <f>'Populations decile 1'!E362</f>
        <v>17738</v>
      </c>
      <c r="G362">
        <f>E362/F362</f>
        <v>0.18220768970571655</v>
      </c>
    </row>
    <row r="363" spans="1:7" hidden="1" x14ac:dyDescent="0.2">
      <c r="A363" s="37">
        <v>2024</v>
      </c>
      <c r="B363" s="38" t="s">
        <v>110</v>
      </c>
      <c r="C363" s="38" t="s">
        <v>106</v>
      </c>
      <c r="D363" s="39">
        <v>2</v>
      </c>
      <c r="E363" s="40">
        <v>3260</v>
      </c>
    </row>
    <row r="364" spans="1:7" hidden="1" x14ac:dyDescent="0.2">
      <c r="A364" s="37">
        <v>2024</v>
      </c>
      <c r="B364" s="38" t="s">
        <v>110</v>
      </c>
      <c r="C364" s="38" t="s">
        <v>106</v>
      </c>
      <c r="D364" s="39">
        <v>3</v>
      </c>
      <c r="E364" s="40">
        <v>3316</v>
      </c>
    </row>
    <row r="365" spans="1:7" hidden="1" x14ac:dyDescent="0.2">
      <c r="A365" s="37">
        <v>2024</v>
      </c>
      <c r="B365" s="38" t="s">
        <v>110</v>
      </c>
      <c r="C365" s="38" t="s">
        <v>106</v>
      </c>
      <c r="D365" s="39">
        <v>4</v>
      </c>
      <c r="E365" s="40">
        <v>3305</v>
      </c>
    </row>
    <row r="366" spans="1:7" hidden="1" x14ac:dyDescent="0.2">
      <c r="A366" s="37">
        <v>2024</v>
      </c>
      <c r="B366" s="38" t="s">
        <v>110</v>
      </c>
      <c r="C366" s="38" t="s">
        <v>106</v>
      </c>
      <c r="D366" s="39">
        <v>5</v>
      </c>
      <c r="E366" s="40">
        <v>3326</v>
      </c>
    </row>
    <row r="367" spans="1:7" hidden="1" x14ac:dyDescent="0.2">
      <c r="A367" s="37">
        <v>2024</v>
      </c>
      <c r="B367" s="38" t="s">
        <v>110</v>
      </c>
      <c r="C367" s="38" t="s">
        <v>106</v>
      </c>
      <c r="D367" s="39">
        <v>6</v>
      </c>
      <c r="E367" s="40">
        <v>3365</v>
      </c>
    </row>
    <row r="368" spans="1:7" hidden="1" x14ac:dyDescent="0.2">
      <c r="A368" s="37">
        <v>2024</v>
      </c>
      <c r="B368" s="38" t="s">
        <v>110</v>
      </c>
      <c r="C368" s="38" t="s">
        <v>106</v>
      </c>
      <c r="D368" s="39">
        <v>7</v>
      </c>
      <c r="E368" s="40">
        <v>3286</v>
      </c>
    </row>
    <row r="369" spans="1:7" hidden="1" x14ac:dyDescent="0.2">
      <c r="A369" s="37">
        <v>2024</v>
      </c>
      <c r="B369" s="38" t="s">
        <v>110</v>
      </c>
      <c r="C369" s="38" t="s">
        <v>106</v>
      </c>
      <c r="D369" s="39">
        <v>8</v>
      </c>
      <c r="E369" s="40">
        <v>3250</v>
      </c>
    </row>
    <row r="370" spans="1:7" hidden="1" x14ac:dyDescent="0.2">
      <c r="A370" s="37">
        <v>2024</v>
      </c>
      <c r="B370" s="38" t="s">
        <v>110</v>
      </c>
      <c r="C370" s="38" t="s">
        <v>106</v>
      </c>
      <c r="D370" s="39">
        <v>9</v>
      </c>
      <c r="E370" s="40">
        <v>3202</v>
      </c>
    </row>
    <row r="371" spans="1:7" hidden="1" x14ac:dyDescent="0.2">
      <c r="A371" s="37">
        <v>2024</v>
      </c>
      <c r="B371" s="38" t="s">
        <v>110</v>
      </c>
      <c r="C371" s="38" t="s">
        <v>106</v>
      </c>
      <c r="D371" s="39">
        <v>10</v>
      </c>
      <c r="E371" s="40">
        <v>2892</v>
      </c>
    </row>
    <row r="372" spans="1:7" x14ac:dyDescent="0.2">
      <c r="A372" s="37">
        <v>2024</v>
      </c>
      <c r="B372" s="38" t="s">
        <v>110</v>
      </c>
      <c r="C372" s="38" t="s">
        <v>108</v>
      </c>
      <c r="D372" s="39">
        <v>1</v>
      </c>
      <c r="E372" s="40">
        <v>3969</v>
      </c>
      <c r="F372" s="24">
        <f>'Populations decile 1'!E372</f>
        <v>31247</v>
      </c>
      <c r="G372">
        <f>E372/F372</f>
        <v>0.1270201939386181</v>
      </c>
    </row>
    <row r="373" spans="1:7" hidden="1" x14ac:dyDescent="0.2">
      <c r="A373" s="37">
        <v>2024</v>
      </c>
      <c r="B373" s="38" t="s">
        <v>110</v>
      </c>
      <c r="C373" s="38" t="s">
        <v>107</v>
      </c>
      <c r="D373" s="39">
        <v>2</v>
      </c>
      <c r="E373" s="40">
        <v>3749</v>
      </c>
    </row>
    <row r="374" spans="1:7" hidden="1" x14ac:dyDescent="0.2">
      <c r="A374" s="37">
        <v>2024</v>
      </c>
      <c r="B374" s="38" t="s">
        <v>110</v>
      </c>
      <c r="C374" s="38" t="s">
        <v>107</v>
      </c>
      <c r="D374" s="39">
        <v>3</v>
      </c>
      <c r="E374" s="40">
        <v>3904</v>
      </c>
    </row>
    <row r="375" spans="1:7" hidden="1" x14ac:dyDescent="0.2">
      <c r="A375" s="37">
        <v>2024</v>
      </c>
      <c r="B375" s="38" t="s">
        <v>110</v>
      </c>
      <c r="C375" s="38" t="s">
        <v>107</v>
      </c>
      <c r="D375" s="39">
        <v>4</v>
      </c>
      <c r="E375" s="40">
        <v>4067</v>
      </c>
    </row>
    <row r="376" spans="1:7" hidden="1" x14ac:dyDescent="0.2">
      <c r="A376" s="37">
        <v>2024</v>
      </c>
      <c r="B376" s="38" t="s">
        <v>110</v>
      </c>
      <c r="C376" s="38" t="s">
        <v>107</v>
      </c>
      <c r="D376" s="39">
        <v>5</v>
      </c>
      <c r="E376" s="40">
        <v>4245</v>
      </c>
    </row>
    <row r="377" spans="1:7" hidden="1" x14ac:dyDescent="0.2">
      <c r="A377" s="37">
        <v>2024</v>
      </c>
      <c r="B377" s="38" t="s">
        <v>110</v>
      </c>
      <c r="C377" s="38" t="s">
        <v>107</v>
      </c>
      <c r="D377" s="39">
        <v>6</v>
      </c>
      <c r="E377" s="40">
        <v>4049</v>
      </c>
    </row>
    <row r="378" spans="1:7" hidden="1" x14ac:dyDescent="0.2">
      <c r="A378" s="37">
        <v>2024</v>
      </c>
      <c r="B378" s="38" t="s">
        <v>110</v>
      </c>
      <c r="C378" s="38" t="s">
        <v>107</v>
      </c>
      <c r="D378" s="39">
        <v>7</v>
      </c>
      <c r="E378" s="40">
        <v>4229</v>
      </c>
    </row>
    <row r="379" spans="1:7" hidden="1" x14ac:dyDescent="0.2">
      <c r="A379" s="37">
        <v>2024</v>
      </c>
      <c r="B379" s="38" t="s">
        <v>110</v>
      </c>
      <c r="C379" s="38" t="s">
        <v>107</v>
      </c>
      <c r="D379" s="39">
        <v>8</v>
      </c>
      <c r="E379" s="40">
        <v>4317</v>
      </c>
    </row>
    <row r="380" spans="1:7" hidden="1" x14ac:dyDescent="0.2">
      <c r="A380" s="37">
        <v>2024</v>
      </c>
      <c r="B380" s="38" t="s">
        <v>110</v>
      </c>
      <c r="C380" s="38" t="s">
        <v>107</v>
      </c>
      <c r="D380" s="39">
        <v>9</v>
      </c>
      <c r="E380" s="40">
        <v>4049</v>
      </c>
    </row>
    <row r="381" spans="1:7" hidden="1" x14ac:dyDescent="0.2">
      <c r="A381" s="37">
        <v>2024</v>
      </c>
      <c r="B381" s="38" t="s">
        <v>110</v>
      </c>
      <c r="C381" s="38" t="s">
        <v>107</v>
      </c>
      <c r="D381" s="39">
        <v>10</v>
      </c>
      <c r="E381" s="40">
        <v>3792</v>
      </c>
    </row>
    <row r="382" spans="1:7" x14ac:dyDescent="0.2">
      <c r="A382" s="37">
        <v>2024</v>
      </c>
      <c r="B382" s="38" t="s">
        <v>89</v>
      </c>
      <c r="C382" s="38" t="s">
        <v>109</v>
      </c>
      <c r="D382" s="39">
        <v>1</v>
      </c>
      <c r="E382" s="40">
        <v>2442</v>
      </c>
      <c r="F382" s="24">
        <f>'Populations decile 1'!E382</f>
        <v>9272</v>
      </c>
      <c r="G382">
        <f>E382/F382</f>
        <v>0.26337359792924936</v>
      </c>
    </row>
    <row r="383" spans="1:7" hidden="1" x14ac:dyDescent="0.2">
      <c r="A383" s="37">
        <v>2024</v>
      </c>
      <c r="B383" s="38" t="s">
        <v>110</v>
      </c>
      <c r="C383" s="38" t="s">
        <v>108</v>
      </c>
      <c r="D383" s="39">
        <v>2</v>
      </c>
      <c r="E383" s="40">
        <v>4291</v>
      </c>
    </row>
    <row r="384" spans="1:7" hidden="1" x14ac:dyDescent="0.2">
      <c r="A384" s="37">
        <v>2024</v>
      </c>
      <c r="B384" s="38" t="s">
        <v>110</v>
      </c>
      <c r="C384" s="38" t="s">
        <v>108</v>
      </c>
      <c r="D384" s="39">
        <v>3</v>
      </c>
      <c r="E384" s="40">
        <v>4565</v>
      </c>
    </row>
    <row r="385" spans="1:7" hidden="1" x14ac:dyDescent="0.2">
      <c r="A385" s="37">
        <v>2024</v>
      </c>
      <c r="B385" s="38" t="s">
        <v>110</v>
      </c>
      <c r="C385" s="38" t="s">
        <v>108</v>
      </c>
      <c r="D385" s="39">
        <v>4</v>
      </c>
      <c r="E385" s="40">
        <v>4810</v>
      </c>
    </row>
    <row r="386" spans="1:7" hidden="1" x14ac:dyDescent="0.2">
      <c r="A386" s="37">
        <v>2024</v>
      </c>
      <c r="B386" s="38" t="s">
        <v>110</v>
      </c>
      <c r="C386" s="38" t="s">
        <v>108</v>
      </c>
      <c r="D386" s="39">
        <v>5</v>
      </c>
      <c r="E386" s="40">
        <v>5172</v>
      </c>
    </row>
    <row r="387" spans="1:7" hidden="1" x14ac:dyDescent="0.2">
      <c r="A387" s="37">
        <v>2024</v>
      </c>
      <c r="B387" s="38" t="s">
        <v>110</v>
      </c>
      <c r="C387" s="38" t="s">
        <v>108</v>
      </c>
      <c r="D387" s="39">
        <v>6</v>
      </c>
      <c r="E387" s="40">
        <v>5275</v>
      </c>
    </row>
    <row r="388" spans="1:7" hidden="1" x14ac:dyDescent="0.2">
      <c r="A388" s="37">
        <v>2024</v>
      </c>
      <c r="B388" s="38" t="s">
        <v>110</v>
      </c>
      <c r="C388" s="38" t="s">
        <v>108</v>
      </c>
      <c r="D388" s="39">
        <v>7</v>
      </c>
      <c r="E388" s="40">
        <v>5602</v>
      </c>
    </row>
    <row r="389" spans="1:7" hidden="1" x14ac:dyDescent="0.2">
      <c r="A389" s="37">
        <v>2024</v>
      </c>
      <c r="B389" s="38" t="s">
        <v>110</v>
      </c>
      <c r="C389" s="38" t="s">
        <v>108</v>
      </c>
      <c r="D389" s="39">
        <v>8</v>
      </c>
      <c r="E389" s="40">
        <v>5484</v>
      </c>
    </row>
    <row r="390" spans="1:7" hidden="1" x14ac:dyDescent="0.2">
      <c r="A390" s="37">
        <v>2024</v>
      </c>
      <c r="B390" s="38" t="s">
        <v>110</v>
      </c>
      <c r="C390" s="38" t="s">
        <v>108</v>
      </c>
      <c r="D390" s="39">
        <v>9</v>
      </c>
      <c r="E390" s="40">
        <v>5504</v>
      </c>
    </row>
    <row r="391" spans="1:7" hidden="1" x14ac:dyDescent="0.2">
      <c r="A391" s="37">
        <v>2024</v>
      </c>
      <c r="B391" s="38" t="s">
        <v>110</v>
      </c>
      <c r="C391" s="38" t="s">
        <v>108</v>
      </c>
      <c r="D391" s="39">
        <v>10</v>
      </c>
      <c r="E391" s="40">
        <v>5217</v>
      </c>
    </row>
    <row r="392" spans="1:7" x14ac:dyDescent="0.2">
      <c r="A392" s="37">
        <v>2024</v>
      </c>
      <c r="B392" s="38" t="s">
        <v>110</v>
      </c>
      <c r="C392" s="38" t="s">
        <v>109</v>
      </c>
      <c r="D392" s="39">
        <v>1</v>
      </c>
      <c r="E392" s="40">
        <v>4632</v>
      </c>
      <c r="F392" s="24">
        <f>'Populations decile 1'!E392</f>
        <v>20939</v>
      </c>
      <c r="G392">
        <f>E392/F392</f>
        <v>0.22121400257891971</v>
      </c>
    </row>
    <row r="393" spans="1:7" hidden="1" x14ac:dyDescent="0.2">
      <c r="A393" s="37">
        <v>2024</v>
      </c>
      <c r="B393" s="38" t="s">
        <v>110</v>
      </c>
      <c r="C393" s="38" t="s">
        <v>109</v>
      </c>
      <c r="D393" s="39">
        <v>2</v>
      </c>
      <c r="E393" s="40">
        <v>5588</v>
      </c>
    </row>
    <row r="394" spans="1:7" hidden="1" x14ac:dyDescent="0.2">
      <c r="A394" s="37">
        <v>2024</v>
      </c>
      <c r="B394" s="38" t="s">
        <v>110</v>
      </c>
      <c r="C394" s="38" t="s">
        <v>109</v>
      </c>
      <c r="D394" s="39">
        <v>3</v>
      </c>
      <c r="E394" s="40">
        <v>6286</v>
      </c>
    </row>
    <row r="395" spans="1:7" hidden="1" x14ac:dyDescent="0.2">
      <c r="A395" s="37">
        <v>2024</v>
      </c>
      <c r="B395" s="38" t="s">
        <v>110</v>
      </c>
      <c r="C395" s="38" t="s">
        <v>109</v>
      </c>
      <c r="D395" s="39">
        <v>4</v>
      </c>
      <c r="E395" s="40">
        <v>6778</v>
      </c>
    </row>
    <row r="396" spans="1:7" hidden="1" x14ac:dyDescent="0.2">
      <c r="A396" s="37">
        <v>2024</v>
      </c>
      <c r="B396" s="38" t="s">
        <v>110</v>
      </c>
      <c r="C396" s="38" t="s">
        <v>109</v>
      </c>
      <c r="D396" s="39">
        <v>5</v>
      </c>
      <c r="E396" s="40">
        <v>7634</v>
      </c>
    </row>
    <row r="397" spans="1:7" hidden="1" x14ac:dyDescent="0.2">
      <c r="A397" s="37">
        <v>2024</v>
      </c>
      <c r="B397" s="38" t="s">
        <v>110</v>
      </c>
      <c r="C397" s="38" t="s">
        <v>109</v>
      </c>
      <c r="D397" s="39">
        <v>6</v>
      </c>
      <c r="E397" s="40">
        <v>7944</v>
      </c>
    </row>
    <row r="398" spans="1:7" hidden="1" x14ac:dyDescent="0.2">
      <c r="A398" s="37">
        <v>2024</v>
      </c>
      <c r="B398" s="38" t="s">
        <v>110</v>
      </c>
      <c r="C398" s="38" t="s">
        <v>109</v>
      </c>
      <c r="D398" s="39">
        <v>7</v>
      </c>
      <c r="E398" s="40">
        <v>8553</v>
      </c>
    </row>
    <row r="399" spans="1:7" hidden="1" x14ac:dyDescent="0.2">
      <c r="A399" s="37">
        <v>2024</v>
      </c>
      <c r="B399" s="38" t="s">
        <v>110</v>
      </c>
      <c r="C399" s="38" t="s">
        <v>109</v>
      </c>
      <c r="D399" s="39">
        <v>8</v>
      </c>
      <c r="E399" s="40">
        <v>8286</v>
      </c>
    </row>
    <row r="400" spans="1:7" hidden="1" x14ac:dyDescent="0.2">
      <c r="A400" s="37">
        <v>2024</v>
      </c>
      <c r="B400" s="38" t="s">
        <v>110</v>
      </c>
      <c r="C400" s="38" t="s">
        <v>109</v>
      </c>
      <c r="D400" s="39">
        <v>9</v>
      </c>
      <c r="E400" s="40">
        <v>8645</v>
      </c>
    </row>
    <row r="401" spans="1:5" hidden="1" x14ac:dyDescent="0.2">
      <c r="A401" s="37">
        <v>2024</v>
      </c>
      <c r="B401" s="38" t="s">
        <v>110</v>
      </c>
      <c r="C401" s="38" t="s">
        <v>109</v>
      </c>
      <c r="D401" s="39">
        <v>10</v>
      </c>
      <c r="E401" s="40">
        <v>8215</v>
      </c>
    </row>
  </sheetData>
  <autoFilter ref="A1:E401" xr:uid="{9A9E2548-F78B-0642-90CA-E5C516C8F66E}">
    <filterColumn colId="2">
      <filters>
        <filter val="15-19"/>
        <filter val="20-24"/>
        <filter val="25-29"/>
        <filter val="30-34"/>
        <filter val="35-39"/>
        <filter val="40-44"/>
        <filter val="45-49"/>
        <filter val="50-54"/>
        <filter val="55-59"/>
        <filter val="60-64"/>
        <filter val="65-69"/>
        <filter val="70-74"/>
        <filter val="75-79"/>
        <filter val="80-84"/>
        <filter val="85-89"/>
        <filter val="90+"/>
      </filters>
    </filterColumn>
    <filterColumn colId="3">
      <filters>
        <filter val="1"/>
      </filters>
    </filterColumn>
    <sortState xmlns:xlrd2="http://schemas.microsoft.com/office/spreadsheetml/2017/richdata2" ref="A42:E392">
      <sortCondition ref="C1:C4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F3DA-6B62-944E-9569-B95CC91EE710}">
  <sheetPr filterMode="1"/>
  <dimension ref="A1:E453"/>
  <sheetViews>
    <sheetView workbookViewId="0">
      <selection activeCell="B412" sqref="B412"/>
    </sheetView>
  </sheetViews>
  <sheetFormatPr baseColWidth="10" defaultRowHeight="16" x14ac:dyDescent="0.2"/>
  <sheetData>
    <row r="1" spans="1:5" x14ac:dyDescent="0.2">
      <c r="A1" t="s">
        <v>111</v>
      </c>
      <c r="B1" t="s">
        <v>112</v>
      </c>
      <c r="C1" t="s">
        <v>113</v>
      </c>
      <c r="D1" t="s">
        <v>114</v>
      </c>
      <c r="E1" t="s">
        <v>125</v>
      </c>
    </row>
    <row r="2" spans="1:5" hidden="1" x14ac:dyDescent="0.2">
      <c r="A2" s="33">
        <v>2024</v>
      </c>
      <c r="B2" s="34" t="s">
        <v>89</v>
      </c>
      <c r="C2" s="34" t="s">
        <v>90</v>
      </c>
      <c r="D2" s="35">
        <v>1</v>
      </c>
      <c r="E2" s="36">
        <v>39851</v>
      </c>
    </row>
    <row r="3" spans="1:5" hidden="1" x14ac:dyDescent="0.2">
      <c r="A3" s="33">
        <v>2024</v>
      </c>
      <c r="B3" s="34" t="s">
        <v>89</v>
      </c>
      <c r="C3" s="34" t="s">
        <v>90</v>
      </c>
      <c r="D3" s="35">
        <v>2</v>
      </c>
      <c r="E3" s="36">
        <v>35009</v>
      </c>
    </row>
    <row r="4" spans="1:5" hidden="1" x14ac:dyDescent="0.2">
      <c r="A4" s="33">
        <v>2024</v>
      </c>
      <c r="B4" s="34" t="s">
        <v>89</v>
      </c>
      <c r="C4" s="34" t="s">
        <v>90</v>
      </c>
      <c r="D4" s="35">
        <v>3</v>
      </c>
      <c r="E4" s="36">
        <v>33355</v>
      </c>
    </row>
    <row r="5" spans="1:5" hidden="1" x14ac:dyDescent="0.2">
      <c r="A5" s="33">
        <v>2024</v>
      </c>
      <c r="B5" s="34" t="s">
        <v>89</v>
      </c>
      <c r="C5" s="34" t="s">
        <v>90</v>
      </c>
      <c r="D5" s="35">
        <v>4</v>
      </c>
      <c r="E5" s="36">
        <v>30193</v>
      </c>
    </row>
    <row r="6" spans="1:5" hidden="1" x14ac:dyDescent="0.2">
      <c r="A6" s="33">
        <v>2024</v>
      </c>
      <c r="B6" s="34" t="s">
        <v>89</v>
      </c>
      <c r="C6" s="34" t="s">
        <v>90</v>
      </c>
      <c r="D6" s="35">
        <v>5</v>
      </c>
      <c r="E6" s="36">
        <v>28941</v>
      </c>
    </row>
    <row r="7" spans="1:5" hidden="1" x14ac:dyDescent="0.2">
      <c r="A7" s="33">
        <v>2024</v>
      </c>
      <c r="B7" s="34" t="s">
        <v>89</v>
      </c>
      <c r="C7" s="34" t="s">
        <v>90</v>
      </c>
      <c r="D7" s="35">
        <v>6</v>
      </c>
      <c r="E7" s="36">
        <v>27131</v>
      </c>
    </row>
    <row r="8" spans="1:5" hidden="1" x14ac:dyDescent="0.2">
      <c r="A8" s="33">
        <v>2024</v>
      </c>
      <c r="B8" s="34" t="s">
        <v>89</v>
      </c>
      <c r="C8" s="34" t="s">
        <v>90</v>
      </c>
      <c r="D8" s="35">
        <v>7</v>
      </c>
      <c r="E8" s="36">
        <v>26810</v>
      </c>
    </row>
    <row r="9" spans="1:5" hidden="1" x14ac:dyDescent="0.2">
      <c r="A9" s="33">
        <v>2024</v>
      </c>
      <c r="B9" s="34" t="s">
        <v>89</v>
      </c>
      <c r="C9" s="34" t="s">
        <v>90</v>
      </c>
      <c r="D9" s="35">
        <v>8</v>
      </c>
      <c r="E9" s="36">
        <v>26135</v>
      </c>
    </row>
    <row r="10" spans="1:5" hidden="1" x14ac:dyDescent="0.2">
      <c r="A10" s="33">
        <v>2024</v>
      </c>
      <c r="B10" s="34" t="s">
        <v>89</v>
      </c>
      <c r="C10" s="34" t="s">
        <v>90</v>
      </c>
      <c r="D10" s="35">
        <v>9</v>
      </c>
      <c r="E10" s="36">
        <v>25319</v>
      </c>
    </row>
    <row r="11" spans="1:5" hidden="1" x14ac:dyDescent="0.2">
      <c r="A11" s="33">
        <v>2024</v>
      </c>
      <c r="B11" s="34" t="s">
        <v>89</v>
      </c>
      <c r="C11" s="34" t="s">
        <v>90</v>
      </c>
      <c r="D11" s="35">
        <v>10</v>
      </c>
      <c r="E11" s="36">
        <v>21188</v>
      </c>
    </row>
    <row r="12" spans="1:5" hidden="1" x14ac:dyDescent="0.2">
      <c r="A12" s="33">
        <v>2024</v>
      </c>
      <c r="B12" s="34" t="s">
        <v>89</v>
      </c>
      <c r="C12" s="34" t="s">
        <v>91</v>
      </c>
      <c r="D12" s="35">
        <v>1</v>
      </c>
      <c r="E12" s="36">
        <v>170084</v>
      </c>
    </row>
    <row r="13" spans="1:5" hidden="1" x14ac:dyDescent="0.2">
      <c r="A13" s="33">
        <v>2024</v>
      </c>
      <c r="B13" s="34" t="s">
        <v>89</v>
      </c>
      <c r="C13" s="34" t="s">
        <v>91</v>
      </c>
      <c r="D13" s="35">
        <v>2</v>
      </c>
      <c r="E13" s="36">
        <v>147665</v>
      </c>
    </row>
    <row r="14" spans="1:5" hidden="1" x14ac:dyDescent="0.2">
      <c r="A14" s="33">
        <v>2024</v>
      </c>
      <c r="B14" s="34" t="s">
        <v>89</v>
      </c>
      <c r="C14" s="34" t="s">
        <v>91</v>
      </c>
      <c r="D14" s="35">
        <v>3</v>
      </c>
      <c r="E14" s="36">
        <v>139273</v>
      </c>
    </row>
    <row r="15" spans="1:5" hidden="1" x14ac:dyDescent="0.2">
      <c r="A15" s="33">
        <v>2024</v>
      </c>
      <c r="B15" s="34" t="s">
        <v>89</v>
      </c>
      <c r="C15" s="34" t="s">
        <v>91</v>
      </c>
      <c r="D15" s="35">
        <v>4</v>
      </c>
      <c r="E15" s="36">
        <v>128357</v>
      </c>
    </row>
    <row r="16" spans="1:5" hidden="1" x14ac:dyDescent="0.2">
      <c r="A16" s="33">
        <v>2024</v>
      </c>
      <c r="B16" s="34" t="s">
        <v>89</v>
      </c>
      <c r="C16" s="34" t="s">
        <v>91</v>
      </c>
      <c r="D16" s="35">
        <v>5</v>
      </c>
      <c r="E16" s="36">
        <v>124151</v>
      </c>
    </row>
    <row r="17" spans="1:5" hidden="1" x14ac:dyDescent="0.2">
      <c r="A17" s="33">
        <v>2024</v>
      </c>
      <c r="B17" s="34" t="s">
        <v>89</v>
      </c>
      <c r="C17" s="34" t="s">
        <v>91</v>
      </c>
      <c r="D17" s="35">
        <v>6</v>
      </c>
      <c r="E17" s="36">
        <v>118768</v>
      </c>
    </row>
    <row r="18" spans="1:5" hidden="1" x14ac:dyDescent="0.2">
      <c r="A18" s="33">
        <v>2024</v>
      </c>
      <c r="B18" s="34" t="s">
        <v>89</v>
      </c>
      <c r="C18" s="34" t="s">
        <v>91</v>
      </c>
      <c r="D18" s="35">
        <v>7</v>
      </c>
      <c r="E18" s="36">
        <v>119614</v>
      </c>
    </row>
    <row r="19" spans="1:5" hidden="1" x14ac:dyDescent="0.2">
      <c r="A19" s="33">
        <v>2024</v>
      </c>
      <c r="B19" s="34" t="s">
        <v>89</v>
      </c>
      <c r="C19" s="34" t="s">
        <v>91</v>
      </c>
      <c r="D19" s="35">
        <v>8</v>
      </c>
      <c r="E19" s="36">
        <v>116471</v>
      </c>
    </row>
    <row r="20" spans="1:5" hidden="1" x14ac:dyDescent="0.2">
      <c r="A20" s="33">
        <v>2024</v>
      </c>
      <c r="B20" s="34" t="s">
        <v>89</v>
      </c>
      <c r="C20" s="34" t="s">
        <v>91</v>
      </c>
      <c r="D20" s="35">
        <v>9</v>
      </c>
      <c r="E20" s="36">
        <v>112614</v>
      </c>
    </row>
    <row r="21" spans="1:5" hidden="1" x14ac:dyDescent="0.2">
      <c r="A21" s="33">
        <v>2024</v>
      </c>
      <c r="B21" s="34" t="s">
        <v>89</v>
      </c>
      <c r="C21" s="34" t="s">
        <v>91</v>
      </c>
      <c r="D21" s="35">
        <v>10</v>
      </c>
      <c r="E21" s="36">
        <v>101420</v>
      </c>
    </row>
    <row r="22" spans="1:5" hidden="1" x14ac:dyDescent="0.2">
      <c r="A22" s="33">
        <v>2024</v>
      </c>
      <c r="B22" s="34" t="s">
        <v>89</v>
      </c>
      <c r="C22" s="34" t="s">
        <v>92</v>
      </c>
      <c r="D22" s="35">
        <v>1</v>
      </c>
      <c r="E22" s="36">
        <v>225130</v>
      </c>
    </row>
    <row r="23" spans="1:5" hidden="1" x14ac:dyDescent="0.2">
      <c r="A23" s="33">
        <v>2024</v>
      </c>
      <c r="B23" s="34" t="s">
        <v>89</v>
      </c>
      <c r="C23" s="34" t="s">
        <v>92</v>
      </c>
      <c r="D23" s="35">
        <v>2</v>
      </c>
      <c r="E23" s="36">
        <v>197635</v>
      </c>
    </row>
    <row r="24" spans="1:5" hidden="1" x14ac:dyDescent="0.2">
      <c r="A24" s="33">
        <v>2024</v>
      </c>
      <c r="B24" s="34" t="s">
        <v>89</v>
      </c>
      <c r="C24" s="34" t="s">
        <v>92</v>
      </c>
      <c r="D24" s="35">
        <v>3</v>
      </c>
      <c r="E24" s="36">
        <v>183187</v>
      </c>
    </row>
    <row r="25" spans="1:5" hidden="1" x14ac:dyDescent="0.2">
      <c r="A25" s="33">
        <v>2024</v>
      </c>
      <c r="B25" s="34" t="s">
        <v>89</v>
      </c>
      <c r="C25" s="34" t="s">
        <v>92</v>
      </c>
      <c r="D25" s="35">
        <v>4</v>
      </c>
      <c r="E25" s="36">
        <v>169436</v>
      </c>
    </row>
    <row r="26" spans="1:5" hidden="1" x14ac:dyDescent="0.2">
      <c r="A26" s="33">
        <v>2024</v>
      </c>
      <c r="B26" s="34" t="s">
        <v>89</v>
      </c>
      <c r="C26" s="34" t="s">
        <v>92</v>
      </c>
      <c r="D26" s="35">
        <v>5</v>
      </c>
      <c r="E26" s="36">
        <v>165968</v>
      </c>
    </row>
    <row r="27" spans="1:5" hidden="1" x14ac:dyDescent="0.2">
      <c r="A27" s="33">
        <v>2024</v>
      </c>
      <c r="B27" s="34" t="s">
        <v>89</v>
      </c>
      <c r="C27" s="34" t="s">
        <v>92</v>
      </c>
      <c r="D27" s="35">
        <v>6</v>
      </c>
      <c r="E27" s="36">
        <v>158499</v>
      </c>
    </row>
    <row r="28" spans="1:5" hidden="1" x14ac:dyDescent="0.2">
      <c r="A28" s="33">
        <v>2024</v>
      </c>
      <c r="B28" s="34" t="s">
        <v>89</v>
      </c>
      <c r="C28" s="34" t="s">
        <v>92</v>
      </c>
      <c r="D28" s="35">
        <v>7</v>
      </c>
      <c r="E28" s="36">
        <v>162095</v>
      </c>
    </row>
    <row r="29" spans="1:5" hidden="1" x14ac:dyDescent="0.2">
      <c r="A29" s="33">
        <v>2024</v>
      </c>
      <c r="B29" s="34" t="s">
        <v>89</v>
      </c>
      <c r="C29" s="34" t="s">
        <v>92</v>
      </c>
      <c r="D29" s="35">
        <v>8</v>
      </c>
      <c r="E29" s="36">
        <v>162247</v>
      </c>
    </row>
    <row r="30" spans="1:5" hidden="1" x14ac:dyDescent="0.2">
      <c r="A30" s="33">
        <v>2024</v>
      </c>
      <c r="B30" s="34" t="s">
        <v>89</v>
      </c>
      <c r="C30" s="34" t="s">
        <v>92</v>
      </c>
      <c r="D30" s="35">
        <v>9</v>
      </c>
      <c r="E30" s="36">
        <v>158983</v>
      </c>
    </row>
    <row r="31" spans="1:5" hidden="1" x14ac:dyDescent="0.2">
      <c r="A31" s="33">
        <v>2024</v>
      </c>
      <c r="B31" s="34" t="s">
        <v>89</v>
      </c>
      <c r="C31" s="34" t="s">
        <v>92</v>
      </c>
      <c r="D31" s="35">
        <v>10</v>
      </c>
      <c r="E31" s="36">
        <v>157848</v>
      </c>
    </row>
    <row r="32" spans="1:5" hidden="1" x14ac:dyDescent="0.2">
      <c r="A32" s="33">
        <v>2024</v>
      </c>
      <c r="B32" s="34" t="s">
        <v>89</v>
      </c>
      <c r="C32" s="34" t="s">
        <v>93</v>
      </c>
      <c r="D32" s="35">
        <v>1</v>
      </c>
      <c r="E32" s="36">
        <v>233061</v>
      </c>
    </row>
    <row r="33" spans="1:5" hidden="1" x14ac:dyDescent="0.2">
      <c r="A33" s="33">
        <v>2024</v>
      </c>
      <c r="B33" s="34" t="s">
        <v>89</v>
      </c>
      <c r="C33" s="34" t="s">
        <v>93</v>
      </c>
      <c r="D33" s="35">
        <v>2</v>
      </c>
      <c r="E33" s="36">
        <v>206338</v>
      </c>
    </row>
    <row r="34" spans="1:5" hidden="1" x14ac:dyDescent="0.2">
      <c r="A34" s="33">
        <v>2024</v>
      </c>
      <c r="B34" s="34" t="s">
        <v>89</v>
      </c>
      <c r="C34" s="34" t="s">
        <v>93</v>
      </c>
      <c r="D34" s="35">
        <v>3</v>
      </c>
      <c r="E34" s="36">
        <v>189666</v>
      </c>
    </row>
    <row r="35" spans="1:5" hidden="1" x14ac:dyDescent="0.2">
      <c r="A35" s="33">
        <v>2024</v>
      </c>
      <c r="B35" s="34" t="s">
        <v>89</v>
      </c>
      <c r="C35" s="34" t="s">
        <v>93</v>
      </c>
      <c r="D35" s="35">
        <v>4</v>
      </c>
      <c r="E35" s="36">
        <v>175871</v>
      </c>
    </row>
    <row r="36" spans="1:5" hidden="1" x14ac:dyDescent="0.2">
      <c r="A36" s="33">
        <v>2024</v>
      </c>
      <c r="B36" s="34" t="s">
        <v>89</v>
      </c>
      <c r="C36" s="34" t="s">
        <v>93</v>
      </c>
      <c r="D36" s="35">
        <v>5</v>
      </c>
      <c r="E36" s="36">
        <v>172561</v>
      </c>
    </row>
    <row r="37" spans="1:5" hidden="1" x14ac:dyDescent="0.2">
      <c r="A37" s="33">
        <v>2024</v>
      </c>
      <c r="B37" s="34" t="s">
        <v>89</v>
      </c>
      <c r="C37" s="34" t="s">
        <v>93</v>
      </c>
      <c r="D37" s="35">
        <v>6</v>
      </c>
      <c r="E37" s="36">
        <v>166882</v>
      </c>
    </row>
    <row r="38" spans="1:5" hidden="1" x14ac:dyDescent="0.2">
      <c r="A38" s="33">
        <v>2024</v>
      </c>
      <c r="B38" s="34" t="s">
        <v>89</v>
      </c>
      <c r="C38" s="34" t="s">
        <v>93</v>
      </c>
      <c r="D38" s="35">
        <v>7</v>
      </c>
      <c r="E38" s="36">
        <v>169398</v>
      </c>
    </row>
    <row r="39" spans="1:5" hidden="1" x14ac:dyDescent="0.2">
      <c r="A39" s="33">
        <v>2024</v>
      </c>
      <c r="B39" s="34" t="s">
        <v>89</v>
      </c>
      <c r="C39" s="34" t="s">
        <v>93</v>
      </c>
      <c r="D39" s="35">
        <v>8</v>
      </c>
      <c r="E39" s="36">
        <v>170181</v>
      </c>
    </row>
    <row r="40" spans="1:5" hidden="1" x14ac:dyDescent="0.2">
      <c r="A40" s="33">
        <v>2024</v>
      </c>
      <c r="B40" s="34" t="s">
        <v>89</v>
      </c>
      <c r="C40" s="34" t="s">
        <v>93</v>
      </c>
      <c r="D40" s="35">
        <v>9</v>
      </c>
      <c r="E40" s="36">
        <v>171460</v>
      </c>
    </row>
    <row r="41" spans="1:5" hidden="1" x14ac:dyDescent="0.2">
      <c r="A41" s="33">
        <v>2024</v>
      </c>
      <c r="B41" s="34" t="s">
        <v>89</v>
      </c>
      <c r="C41" s="34" t="s">
        <v>93</v>
      </c>
      <c r="D41" s="35">
        <v>10</v>
      </c>
      <c r="E41" s="36">
        <v>178612</v>
      </c>
    </row>
    <row r="42" spans="1:5" x14ac:dyDescent="0.2">
      <c r="A42" s="33">
        <v>2024</v>
      </c>
      <c r="B42" s="34" t="s">
        <v>89</v>
      </c>
      <c r="C42" s="34" t="s">
        <v>94</v>
      </c>
      <c r="D42" s="35">
        <v>1</v>
      </c>
      <c r="E42" s="36">
        <v>223908</v>
      </c>
    </row>
    <row r="43" spans="1:5" hidden="1" x14ac:dyDescent="0.2">
      <c r="A43" s="33">
        <v>2024</v>
      </c>
      <c r="B43" s="34" t="s">
        <v>89</v>
      </c>
      <c r="C43" s="34" t="s">
        <v>94</v>
      </c>
      <c r="D43" s="35">
        <v>2</v>
      </c>
      <c r="E43" s="36">
        <v>202794</v>
      </c>
    </row>
    <row r="44" spans="1:5" hidden="1" x14ac:dyDescent="0.2">
      <c r="A44" s="33">
        <v>2024</v>
      </c>
      <c r="B44" s="34" t="s">
        <v>89</v>
      </c>
      <c r="C44" s="34" t="s">
        <v>94</v>
      </c>
      <c r="D44" s="35">
        <v>3</v>
      </c>
      <c r="E44" s="36">
        <v>190206</v>
      </c>
    </row>
    <row r="45" spans="1:5" hidden="1" x14ac:dyDescent="0.2">
      <c r="A45" s="33">
        <v>2024</v>
      </c>
      <c r="B45" s="34" t="s">
        <v>89</v>
      </c>
      <c r="C45" s="34" t="s">
        <v>94</v>
      </c>
      <c r="D45" s="35">
        <v>4</v>
      </c>
      <c r="E45" s="36">
        <v>174613</v>
      </c>
    </row>
    <row r="46" spans="1:5" hidden="1" x14ac:dyDescent="0.2">
      <c r="A46" s="33">
        <v>2024</v>
      </c>
      <c r="B46" s="34" t="s">
        <v>89</v>
      </c>
      <c r="C46" s="34" t="s">
        <v>94</v>
      </c>
      <c r="D46" s="35">
        <v>5</v>
      </c>
      <c r="E46" s="36">
        <v>172285</v>
      </c>
    </row>
    <row r="47" spans="1:5" hidden="1" x14ac:dyDescent="0.2">
      <c r="A47" s="33">
        <v>2024</v>
      </c>
      <c r="B47" s="34" t="s">
        <v>89</v>
      </c>
      <c r="C47" s="34" t="s">
        <v>94</v>
      </c>
      <c r="D47" s="35">
        <v>6</v>
      </c>
      <c r="E47" s="36">
        <v>164633</v>
      </c>
    </row>
    <row r="48" spans="1:5" hidden="1" x14ac:dyDescent="0.2">
      <c r="A48" s="33">
        <v>2024</v>
      </c>
      <c r="B48" s="34" t="s">
        <v>89</v>
      </c>
      <c r="C48" s="34" t="s">
        <v>94</v>
      </c>
      <c r="D48" s="35">
        <v>7</v>
      </c>
      <c r="E48" s="36">
        <v>164727</v>
      </c>
    </row>
    <row r="49" spans="1:5" hidden="1" x14ac:dyDescent="0.2">
      <c r="A49" s="33">
        <v>2024</v>
      </c>
      <c r="B49" s="34" t="s">
        <v>89</v>
      </c>
      <c r="C49" s="34" t="s">
        <v>94</v>
      </c>
      <c r="D49" s="35">
        <v>8</v>
      </c>
      <c r="E49" s="36">
        <v>167754</v>
      </c>
    </row>
    <row r="50" spans="1:5" hidden="1" x14ac:dyDescent="0.2">
      <c r="A50" s="33">
        <v>2024</v>
      </c>
      <c r="B50" s="34" t="s">
        <v>89</v>
      </c>
      <c r="C50" s="34" t="s">
        <v>94</v>
      </c>
      <c r="D50" s="35">
        <v>9</v>
      </c>
      <c r="E50" s="36">
        <v>169249</v>
      </c>
    </row>
    <row r="51" spans="1:5" hidden="1" x14ac:dyDescent="0.2">
      <c r="A51" s="33">
        <v>2024</v>
      </c>
      <c r="B51" s="34" t="s">
        <v>89</v>
      </c>
      <c r="C51" s="34" t="s">
        <v>94</v>
      </c>
      <c r="D51" s="35">
        <v>10</v>
      </c>
      <c r="E51" s="36">
        <v>176891</v>
      </c>
    </row>
    <row r="52" spans="1:5" x14ac:dyDescent="0.2">
      <c r="A52" s="33">
        <v>2024</v>
      </c>
      <c r="B52" s="34" t="s">
        <v>110</v>
      </c>
      <c r="C52" s="34" t="s">
        <v>94</v>
      </c>
      <c r="D52" s="35">
        <v>1</v>
      </c>
      <c r="E52" s="36">
        <v>208425</v>
      </c>
    </row>
    <row r="53" spans="1:5" hidden="1" x14ac:dyDescent="0.2">
      <c r="A53" s="33">
        <v>2024</v>
      </c>
      <c r="B53" s="34" t="s">
        <v>89</v>
      </c>
      <c r="C53" s="34" t="s">
        <v>95</v>
      </c>
      <c r="D53" s="35">
        <v>2</v>
      </c>
      <c r="E53" s="36">
        <v>213790</v>
      </c>
    </row>
    <row r="54" spans="1:5" hidden="1" x14ac:dyDescent="0.2">
      <c r="A54" s="33">
        <v>2024</v>
      </c>
      <c r="B54" s="34" t="s">
        <v>89</v>
      </c>
      <c r="C54" s="34" t="s">
        <v>95</v>
      </c>
      <c r="D54" s="35">
        <v>3</v>
      </c>
      <c r="E54" s="36">
        <v>213620</v>
      </c>
    </row>
    <row r="55" spans="1:5" hidden="1" x14ac:dyDescent="0.2">
      <c r="A55" s="33">
        <v>2024</v>
      </c>
      <c r="B55" s="34" t="s">
        <v>89</v>
      </c>
      <c r="C55" s="34" t="s">
        <v>95</v>
      </c>
      <c r="D55" s="35">
        <v>4</v>
      </c>
      <c r="E55" s="36">
        <v>199871</v>
      </c>
    </row>
    <row r="56" spans="1:5" hidden="1" x14ac:dyDescent="0.2">
      <c r="A56" s="33">
        <v>2024</v>
      </c>
      <c r="B56" s="34" t="s">
        <v>89</v>
      </c>
      <c r="C56" s="34" t="s">
        <v>95</v>
      </c>
      <c r="D56" s="35">
        <v>5</v>
      </c>
      <c r="E56" s="36">
        <v>185194</v>
      </c>
    </row>
    <row r="57" spans="1:5" hidden="1" x14ac:dyDescent="0.2">
      <c r="A57" s="33">
        <v>2024</v>
      </c>
      <c r="B57" s="34" t="s">
        <v>89</v>
      </c>
      <c r="C57" s="34" t="s">
        <v>95</v>
      </c>
      <c r="D57" s="35">
        <v>6</v>
      </c>
      <c r="E57" s="36">
        <v>171551</v>
      </c>
    </row>
    <row r="58" spans="1:5" hidden="1" x14ac:dyDescent="0.2">
      <c r="A58" s="33">
        <v>2024</v>
      </c>
      <c r="B58" s="34" t="s">
        <v>89</v>
      </c>
      <c r="C58" s="34" t="s">
        <v>95</v>
      </c>
      <c r="D58" s="35">
        <v>7</v>
      </c>
      <c r="E58" s="36">
        <v>166781</v>
      </c>
    </row>
    <row r="59" spans="1:5" hidden="1" x14ac:dyDescent="0.2">
      <c r="A59" s="33">
        <v>2024</v>
      </c>
      <c r="B59" s="34" t="s">
        <v>89</v>
      </c>
      <c r="C59" s="34" t="s">
        <v>95</v>
      </c>
      <c r="D59" s="35">
        <v>8</v>
      </c>
      <c r="E59" s="36">
        <v>154372</v>
      </c>
    </row>
    <row r="60" spans="1:5" hidden="1" x14ac:dyDescent="0.2">
      <c r="A60" s="33">
        <v>2024</v>
      </c>
      <c r="B60" s="34" t="s">
        <v>89</v>
      </c>
      <c r="C60" s="34" t="s">
        <v>95</v>
      </c>
      <c r="D60" s="35">
        <v>9</v>
      </c>
      <c r="E60" s="36">
        <v>148694</v>
      </c>
    </row>
    <row r="61" spans="1:5" hidden="1" x14ac:dyDescent="0.2">
      <c r="A61" s="33">
        <v>2024</v>
      </c>
      <c r="B61" s="34" t="s">
        <v>89</v>
      </c>
      <c r="C61" s="34" t="s">
        <v>95</v>
      </c>
      <c r="D61" s="35">
        <v>10</v>
      </c>
      <c r="E61" s="36">
        <v>139222</v>
      </c>
    </row>
    <row r="62" spans="1:5" x14ac:dyDescent="0.2">
      <c r="A62" s="33">
        <v>2024</v>
      </c>
      <c r="B62" s="34" t="s">
        <v>89</v>
      </c>
      <c r="C62" s="34" t="s">
        <v>95</v>
      </c>
      <c r="D62" s="35">
        <v>1</v>
      </c>
      <c r="E62" s="36">
        <v>213956</v>
      </c>
    </row>
    <row r="63" spans="1:5" hidden="1" x14ac:dyDescent="0.2">
      <c r="A63" s="33">
        <v>2024</v>
      </c>
      <c r="B63" s="34" t="s">
        <v>89</v>
      </c>
      <c r="C63" s="34" t="s">
        <v>96</v>
      </c>
      <c r="D63" s="35">
        <v>2</v>
      </c>
      <c r="E63" s="36">
        <v>226478</v>
      </c>
    </row>
    <row r="64" spans="1:5" hidden="1" x14ac:dyDescent="0.2">
      <c r="A64" s="33">
        <v>2024</v>
      </c>
      <c r="B64" s="34" t="s">
        <v>89</v>
      </c>
      <c r="C64" s="34" t="s">
        <v>96</v>
      </c>
      <c r="D64" s="35">
        <v>3</v>
      </c>
      <c r="E64" s="36">
        <v>234966</v>
      </c>
    </row>
    <row r="65" spans="1:5" hidden="1" x14ac:dyDescent="0.2">
      <c r="A65" s="33">
        <v>2024</v>
      </c>
      <c r="B65" s="34" t="s">
        <v>89</v>
      </c>
      <c r="C65" s="34" t="s">
        <v>96</v>
      </c>
      <c r="D65" s="35">
        <v>4</v>
      </c>
      <c r="E65" s="36">
        <v>219592</v>
      </c>
    </row>
    <row r="66" spans="1:5" hidden="1" x14ac:dyDescent="0.2">
      <c r="A66" s="33">
        <v>2024</v>
      </c>
      <c r="B66" s="34" t="s">
        <v>89</v>
      </c>
      <c r="C66" s="34" t="s">
        <v>96</v>
      </c>
      <c r="D66" s="35">
        <v>5</v>
      </c>
      <c r="E66" s="36">
        <v>204801</v>
      </c>
    </row>
    <row r="67" spans="1:5" hidden="1" x14ac:dyDescent="0.2">
      <c r="A67" s="33">
        <v>2024</v>
      </c>
      <c r="B67" s="34" t="s">
        <v>89</v>
      </c>
      <c r="C67" s="34" t="s">
        <v>96</v>
      </c>
      <c r="D67" s="35">
        <v>6</v>
      </c>
      <c r="E67" s="36">
        <v>187458</v>
      </c>
    </row>
    <row r="68" spans="1:5" hidden="1" x14ac:dyDescent="0.2">
      <c r="A68" s="33">
        <v>2024</v>
      </c>
      <c r="B68" s="34" t="s">
        <v>89</v>
      </c>
      <c r="C68" s="34" t="s">
        <v>96</v>
      </c>
      <c r="D68" s="35">
        <v>7</v>
      </c>
      <c r="E68" s="36">
        <v>181032</v>
      </c>
    </row>
    <row r="69" spans="1:5" hidden="1" x14ac:dyDescent="0.2">
      <c r="A69" s="33">
        <v>2024</v>
      </c>
      <c r="B69" s="34" t="s">
        <v>89</v>
      </c>
      <c r="C69" s="34" t="s">
        <v>96</v>
      </c>
      <c r="D69" s="35">
        <v>8</v>
      </c>
      <c r="E69" s="36">
        <v>170582</v>
      </c>
    </row>
    <row r="70" spans="1:5" hidden="1" x14ac:dyDescent="0.2">
      <c r="A70" s="33">
        <v>2024</v>
      </c>
      <c r="B70" s="34" t="s">
        <v>89</v>
      </c>
      <c r="C70" s="34" t="s">
        <v>96</v>
      </c>
      <c r="D70" s="35">
        <v>9</v>
      </c>
      <c r="E70" s="36">
        <v>158980</v>
      </c>
    </row>
    <row r="71" spans="1:5" hidden="1" x14ac:dyDescent="0.2">
      <c r="A71" s="33">
        <v>2024</v>
      </c>
      <c r="B71" s="34" t="s">
        <v>89</v>
      </c>
      <c r="C71" s="34" t="s">
        <v>96</v>
      </c>
      <c r="D71" s="35">
        <v>10</v>
      </c>
      <c r="E71" s="36">
        <v>128879</v>
      </c>
    </row>
    <row r="72" spans="1:5" x14ac:dyDescent="0.2">
      <c r="A72" s="33">
        <v>2024</v>
      </c>
      <c r="B72" s="34" t="s">
        <v>110</v>
      </c>
      <c r="C72" s="34" t="s">
        <v>95</v>
      </c>
      <c r="D72" s="35">
        <v>1</v>
      </c>
      <c r="E72" s="36">
        <v>201724</v>
      </c>
    </row>
    <row r="73" spans="1:5" hidden="1" x14ac:dyDescent="0.2">
      <c r="A73" s="33">
        <v>2024</v>
      </c>
      <c r="B73" s="34" t="s">
        <v>89</v>
      </c>
      <c r="C73" s="34" t="s">
        <v>97</v>
      </c>
      <c r="D73" s="35">
        <v>2</v>
      </c>
      <c r="E73" s="36">
        <v>226341</v>
      </c>
    </row>
    <row r="74" spans="1:5" hidden="1" x14ac:dyDescent="0.2">
      <c r="A74" s="33">
        <v>2024</v>
      </c>
      <c r="B74" s="34" t="s">
        <v>89</v>
      </c>
      <c r="C74" s="34" t="s">
        <v>97</v>
      </c>
      <c r="D74" s="35">
        <v>3</v>
      </c>
      <c r="E74" s="36">
        <v>235703</v>
      </c>
    </row>
    <row r="75" spans="1:5" hidden="1" x14ac:dyDescent="0.2">
      <c r="A75" s="33">
        <v>2024</v>
      </c>
      <c r="B75" s="34" t="s">
        <v>89</v>
      </c>
      <c r="C75" s="34" t="s">
        <v>97</v>
      </c>
      <c r="D75" s="35">
        <v>4</v>
      </c>
      <c r="E75" s="36">
        <v>222740</v>
      </c>
    </row>
    <row r="76" spans="1:5" hidden="1" x14ac:dyDescent="0.2">
      <c r="A76" s="33">
        <v>2024</v>
      </c>
      <c r="B76" s="34" t="s">
        <v>89</v>
      </c>
      <c r="C76" s="34" t="s">
        <v>97</v>
      </c>
      <c r="D76" s="35">
        <v>5</v>
      </c>
      <c r="E76" s="36">
        <v>213643</v>
      </c>
    </row>
    <row r="77" spans="1:5" hidden="1" x14ac:dyDescent="0.2">
      <c r="A77" s="33">
        <v>2024</v>
      </c>
      <c r="B77" s="34" t="s">
        <v>89</v>
      </c>
      <c r="C77" s="34" t="s">
        <v>97</v>
      </c>
      <c r="D77" s="35">
        <v>6</v>
      </c>
      <c r="E77" s="36">
        <v>198817</v>
      </c>
    </row>
    <row r="78" spans="1:5" hidden="1" x14ac:dyDescent="0.2">
      <c r="A78" s="33">
        <v>2024</v>
      </c>
      <c r="B78" s="34" t="s">
        <v>89</v>
      </c>
      <c r="C78" s="34" t="s">
        <v>97</v>
      </c>
      <c r="D78" s="35">
        <v>7</v>
      </c>
      <c r="E78" s="36">
        <v>192606</v>
      </c>
    </row>
    <row r="79" spans="1:5" hidden="1" x14ac:dyDescent="0.2">
      <c r="A79" s="33">
        <v>2024</v>
      </c>
      <c r="B79" s="34" t="s">
        <v>89</v>
      </c>
      <c r="C79" s="34" t="s">
        <v>97</v>
      </c>
      <c r="D79" s="35">
        <v>8</v>
      </c>
      <c r="E79" s="36">
        <v>182657</v>
      </c>
    </row>
    <row r="80" spans="1:5" hidden="1" x14ac:dyDescent="0.2">
      <c r="A80" s="33">
        <v>2024</v>
      </c>
      <c r="B80" s="34" t="s">
        <v>89</v>
      </c>
      <c r="C80" s="34" t="s">
        <v>97</v>
      </c>
      <c r="D80" s="35">
        <v>9</v>
      </c>
      <c r="E80" s="36">
        <v>170115</v>
      </c>
    </row>
    <row r="81" spans="1:5" hidden="1" x14ac:dyDescent="0.2">
      <c r="A81" s="33">
        <v>2024</v>
      </c>
      <c r="B81" s="34" t="s">
        <v>89</v>
      </c>
      <c r="C81" s="34" t="s">
        <v>97</v>
      </c>
      <c r="D81" s="35">
        <v>10</v>
      </c>
      <c r="E81" s="36">
        <v>132742</v>
      </c>
    </row>
    <row r="82" spans="1:5" x14ac:dyDescent="0.2">
      <c r="A82" s="33">
        <v>2024</v>
      </c>
      <c r="B82" s="34" t="s">
        <v>89</v>
      </c>
      <c r="C82" s="34" t="s">
        <v>96</v>
      </c>
      <c r="D82" s="35">
        <v>1</v>
      </c>
      <c r="E82" s="36">
        <v>214810</v>
      </c>
    </row>
    <row r="83" spans="1:5" hidden="1" x14ac:dyDescent="0.2">
      <c r="A83" s="33">
        <v>2024</v>
      </c>
      <c r="B83" s="34" t="s">
        <v>89</v>
      </c>
      <c r="C83" s="34" t="s">
        <v>98</v>
      </c>
      <c r="D83" s="35">
        <v>2</v>
      </c>
      <c r="E83" s="36">
        <v>215135</v>
      </c>
    </row>
    <row r="84" spans="1:5" hidden="1" x14ac:dyDescent="0.2">
      <c r="A84" s="33">
        <v>2024</v>
      </c>
      <c r="B84" s="34" t="s">
        <v>89</v>
      </c>
      <c r="C84" s="34" t="s">
        <v>98</v>
      </c>
      <c r="D84" s="35">
        <v>3</v>
      </c>
      <c r="E84" s="36">
        <v>220974</v>
      </c>
    </row>
    <row r="85" spans="1:5" hidden="1" x14ac:dyDescent="0.2">
      <c r="A85" s="33">
        <v>2024</v>
      </c>
      <c r="B85" s="34" t="s">
        <v>89</v>
      </c>
      <c r="C85" s="34" t="s">
        <v>98</v>
      </c>
      <c r="D85" s="35">
        <v>4</v>
      </c>
      <c r="E85" s="36">
        <v>209371</v>
      </c>
    </row>
    <row r="86" spans="1:5" hidden="1" x14ac:dyDescent="0.2">
      <c r="A86" s="33">
        <v>2024</v>
      </c>
      <c r="B86" s="34" t="s">
        <v>89</v>
      </c>
      <c r="C86" s="34" t="s">
        <v>98</v>
      </c>
      <c r="D86" s="35">
        <v>5</v>
      </c>
      <c r="E86" s="36">
        <v>203942</v>
      </c>
    </row>
    <row r="87" spans="1:5" hidden="1" x14ac:dyDescent="0.2">
      <c r="A87" s="33">
        <v>2024</v>
      </c>
      <c r="B87" s="34" t="s">
        <v>89</v>
      </c>
      <c r="C87" s="34" t="s">
        <v>98</v>
      </c>
      <c r="D87" s="35">
        <v>6</v>
      </c>
      <c r="E87" s="36">
        <v>194089</v>
      </c>
    </row>
    <row r="88" spans="1:5" hidden="1" x14ac:dyDescent="0.2">
      <c r="A88" s="33">
        <v>2024</v>
      </c>
      <c r="B88" s="34" t="s">
        <v>89</v>
      </c>
      <c r="C88" s="34" t="s">
        <v>98</v>
      </c>
      <c r="D88" s="35">
        <v>7</v>
      </c>
      <c r="E88" s="36">
        <v>190793</v>
      </c>
    </row>
    <row r="89" spans="1:5" hidden="1" x14ac:dyDescent="0.2">
      <c r="A89" s="33">
        <v>2024</v>
      </c>
      <c r="B89" s="34" t="s">
        <v>89</v>
      </c>
      <c r="C89" s="34" t="s">
        <v>98</v>
      </c>
      <c r="D89" s="35">
        <v>8</v>
      </c>
      <c r="E89" s="36">
        <v>184836</v>
      </c>
    </row>
    <row r="90" spans="1:5" hidden="1" x14ac:dyDescent="0.2">
      <c r="A90" s="33">
        <v>2024</v>
      </c>
      <c r="B90" s="34" t="s">
        <v>89</v>
      </c>
      <c r="C90" s="34" t="s">
        <v>98</v>
      </c>
      <c r="D90" s="35">
        <v>9</v>
      </c>
      <c r="E90" s="36">
        <v>177922</v>
      </c>
    </row>
    <row r="91" spans="1:5" hidden="1" x14ac:dyDescent="0.2">
      <c r="A91" s="33">
        <v>2024</v>
      </c>
      <c r="B91" s="34" t="s">
        <v>89</v>
      </c>
      <c r="C91" s="34" t="s">
        <v>98</v>
      </c>
      <c r="D91" s="35">
        <v>10</v>
      </c>
      <c r="E91" s="36">
        <v>152199</v>
      </c>
    </row>
    <row r="92" spans="1:5" x14ac:dyDescent="0.2">
      <c r="A92" s="33">
        <v>2024</v>
      </c>
      <c r="B92" s="34" t="s">
        <v>110</v>
      </c>
      <c r="C92" s="34" t="s">
        <v>96</v>
      </c>
      <c r="D92" s="35">
        <v>1</v>
      </c>
      <c r="E92" s="36">
        <v>225382</v>
      </c>
    </row>
    <row r="93" spans="1:5" hidden="1" x14ac:dyDescent="0.2">
      <c r="A93" s="33">
        <v>2024</v>
      </c>
      <c r="B93" s="34" t="s">
        <v>89</v>
      </c>
      <c r="C93" s="34" t="s">
        <v>99</v>
      </c>
      <c r="D93" s="35">
        <v>2</v>
      </c>
      <c r="E93" s="36">
        <v>195743</v>
      </c>
    </row>
    <row r="94" spans="1:5" hidden="1" x14ac:dyDescent="0.2">
      <c r="A94" s="33">
        <v>2024</v>
      </c>
      <c r="B94" s="34" t="s">
        <v>89</v>
      </c>
      <c r="C94" s="34" t="s">
        <v>99</v>
      </c>
      <c r="D94" s="35">
        <v>3</v>
      </c>
      <c r="E94" s="36">
        <v>198292</v>
      </c>
    </row>
    <row r="95" spans="1:5" hidden="1" x14ac:dyDescent="0.2">
      <c r="A95" s="33">
        <v>2024</v>
      </c>
      <c r="B95" s="34" t="s">
        <v>89</v>
      </c>
      <c r="C95" s="34" t="s">
        <v>99</v>
      </c>
      <c r="D95" s="35">
        <v>4</v>
      </c>
      <c r="E95" s="36">
        <v>191178</v>
      </c>
    </row>
    <row r="96" spans="1:5" hidden="1" x14ac:dyDescent="0.2">
      <c r="A96" s="33">
        <v>2024</v>
      </c>
      <c r="B96" s="34" t="s">
        <v>89</v>
      </c>
      <c r="C96" s="34" t="s">
        <v>99</v>
      </c>
      <c r="D96" s="35">
        <v>5</v>
      </c>
      <c r="E96" s="36">
        <v>189083</v>
      </c>
    </row>
    <row r="97" spans="1:5" hidden="1" x14ac:dyDescent="0.2">
      <c r="A97" s="33">
        <v>2024</v>
      </c>
      <c r="B97" s="34" t="s">
        <v>89</v>
      </c>
      <c r="C97" s="34" t="s">
        <v>99</v>
      </c>
      <c r="D97" s="35">
        <v>6</v>
      </c>
      <c r="E97" s="36">
        <v>182517</v>
      </c>
    </row>
    <row r="98" spans="1:5" hidden="1" x14ac:dyDescent="0.2">
      <c r="A98" s="33">
        <v>2024</v>
      </c>
      <c r="B98" s="34" t="s">
        <v>89</v>
      </c>
      <c r="C98" s="34" t="s">
        <v>99</v>
      </c>
      <c r="D98" s="35">
        <v>7</v>
      </c>
      <c r="E98" s="36">
        <v>184533</v>
      </c>
    </row>
    <row r="99" spans="1:5" hidden="1" x14ac:dyDescent="0.2">
      <c r="A99" s="33">
        <v>2024</v>
      </c>
      <c r="B99" s="34" t="s">
        <v>89</v>
      </c>
      <c r="C99" s="34" t="s">
        <v>99</v>
      </c>
      <c r="D99" s="35">
        <v>8</v>
      </c>
      <c r="E99" s="36">
        <v>181969</v>
      </c>
    </row>
    <row r="100" spans="1:5" hidden="1" x14ac:dyDescent="0.2">
      <c r="A100" s="33">
        <v>2024</v>
      </c>
      <c r="B100" s="34" t="s">
        <v>89</v>
      </c>
      <c r="C100" s="34" t="s">
        <v>99</v>
      </c>
      <c r="D100" s="35">
        <v>9</v>
      </c>
      <c r="E100" s="36">
        <v>180265</v>
      </c>
    </row>
    <row r="101" spans="1:5" hidden="1" x14ac:dyDescent="0.2">
      <c r="A101" s="33">
        <v>2024</v>
      </c>
      <c r="B101" s="34" t="s">
        <v>89</v>
      </c>
      <c r="C101" s="34" t="s">
        <v>99</v>
      </c>
      <c r="D101" s="35">
        <v>10</v>
      </c>
      <c r="E101" s="36">
        <v>170945</v>
      </c>
    </row>
    <row r="102" spans="1:5" x14ac:dyDescent="0.2">
      <c r="A102" s="33">
        <v>2024</v>
      </c>
      <c r="B102" s="34" t="s">
        <v>89</v>
      </c>
      <c r="C102" s="34" t="s">
        <v>97</v>
      </c>
      <c r="D102" s="35">
        <v>1</v>
      </c>
      <c r="E102" s="36">
        <v>218806</v>
      </c>
    </row>
    <row r="103" spans="1:5" hidden="1" x14ac:dyDescent="0.2">
      <c r="A103" s="33">
        <v>2024</v>
      </c>
      <c r="B103" s="34" t="s">
        <v>89</v>
      </c>
      <c r="C103" s="34" t="s">
        <v>100</v>
      </c>
      <c r="D103" s="35">
        <v>2</v>
      </c>
      <c r="E103" s="36">
        <v>170666</v>
      </c>
    </row>
    <row r="104" spans="1:5" hidden="1" x14ac:dyDescent="0.2">
      <c r="A104" s="33">
        <v>2024</v>
      </c>
      <c r="B104" s="34" t="s">
        <v>89</v>
      </c>
      <c r="C104" s="34" t="s">
        <v>100</v>
      </c>
      <c r="D104" s="35">
        <v>3</v>
      </c>
      <c r="E104" s="36">
        <v>173352</v>
      </c>
    </row>
    <row r="105" spans="1:5" hidden="1" x14ac:dyDescent="0.2">
      <c r="A105" s="33">
        <v>2024</v>
      </c>
      <c r="B105" s="34" t="s">
        <v>89</v>
      </c>
      <c r="C105" s="34" t="s">
        <v>100</v>
      </c>
      <c r="D105" s="35">
        <v>4</v>
      </c>
      <c r="E105" s="36">
        <v>169467</v>
      </c>
    </row>
    <row r="106" spans="1:5" hidden="1" x14ac:dyDescent="0.2">
      <c r="A106" s="33">
        <v>2024</v>
      </c>
      <c r="B106" s="34" t="s">
        <v>89</v>
      </c>
      <c r="C106" s="34" t="s">
        <v>100</v>
      </c>
      <c r="D106" s="35">
        <v>5</v>
      </c>
      <c r="E106" s="36">
        <v>169507</v>
      </c>
    </row>
    <row r="107" spans="1:5" hidden="1" x14ac:dyDescent="0.2">
      <c r="A107" s="33">
        <v>2024</v>
      </c>
      <c r="B107" s="34" t="s">
        <v>89</v>
      </c>
      <c r="C107" s="34" t="s">
        <v>100</v>
      </c>
      <c r="D107" s="35">
        <v>6</v>
      </c>
      <c r="E107" s="36">
        <v>165929</v>
      </c>
    </row>
    <row r="108" spans="1:5" hidden="1" x14ac:dyDescent="0.2">
      <c r="A108" s="33">
        <v>2024</v>
      </c>
      <c r="B108" s="34" t="s">
        <v>89</v>
      </c>
      <c r="C108" s="34" t="s">
        <v>100</v>
      </c>
      <c r="D108" s="35">
        <v>7</v>
      </c>
      <c r="E108" s="36">
        <v>169667</v>
      </c>
    </row>
    <row r="109" spans="1:5" hidden="1" x14ac:dyDescent="0.2">
      <c r="A109" s="33">
        <v>2024</v>
      </c>
      <c r="B109" s="34" t="s">
        <v>89</v>
      </c>
      <c r="C109" s="34" t="s">
        <v>100</v>
      </c>
      <c r="D109" s="35">
        <v>8</v>
      </c>
      <c r="E109" s="36">
        <v>170859</v>
      </c>
    </row>
    <row r="110" spans="1:5" hidden="1" x14ac:dyDescent="0.2">
      <c r="A110" s="33">
        <v>2024</v>
      </c>
      <c r="B110" s="34" t="s">
        <v>89</v>
      </c>
      <c r="C110" s="34" t="s">
        <v>100</v>
      </c>
      <c r="D110" s="35">
        <v>9</v>
      </c>
      <c r="E110" s="36">
        <v>171734</v>
      </c>
    </row>
    <row r="111" spans="1:5" hidden="1" x14ac:dyDescent="0.2">
      <c r="A111" s="33">
        <v>2024</v>
      </c>
      <c r="B111" s="34" t="s">
        <v>89</v>
      </c>
      <c r="C111" s="34" t="s">
        <v>100</v>
      </c>
      <c r="D111" s="35">
        <v>10</v>
      </c>
      <c r="E111" s="36">
        <v>175255</v>
      </c>
    </row>
    <row r="112" spans="1:5" x14ac:dyDescent="0.2">
      <c r="A112" s="33">
        <v>2024</v>
      </c>
      <c r="B112" s="34" t="s">
        <v>110</v>
      </c>
      <c r="C112" s="34" t="s">
        <v>97</v>
      </c>
      <c r="D112" s="35">
        <v>1</v>
      </c>
      <c r="E112" s="36">
        <v>239675</v>
      </c>
    </row>
    <row r="113" spans="1:5" hidden="1" x14ac:dyDescent="0.2">
      <c r="A113" s="33">
        <v>2024</v>
      </c>
      <c r="B113" s="34" t="s">
        <v>89</v>
      </c>
      <c r="C113" s="34" t="s">
        <v>101</v>
      </c>
      <c r="D113" s="35">
        <v>2</v>
      </c>
      <c r="E113" s="36">
        <v>175532</v>
      </c>
    </row>
    <row r="114" spans="1:5" hidden="1" x14ac:dyDescent="0.2">
      <c r="A114" s="33">
        <v>2024</v>
      </c>
      <c r="B114" s="34" t="s">
        <v>89</v>
      </c>
      <c r="C114" s="34" t="s">
        <v>101</v>
      </c>
      <c r="D114" s="35">
        <v>3</v>
      </c>
      <c r="E114" s="36">
        <v>179856</v>
      </c>
    </row>
    <row r="115" spans="1:5" hidden="1" x14ac:dyDescent="0.2">
      <c r="A115" s="33">
        <v>2024</v>
      </c>
      <c r="B115" s="34" t="s">
        <v>89</v>
      </c>
      <c r="C115" s="34" t="s">
        <v>101</v>
      </c>
      <c r="D115" s="35">
        <v>4</v>
      </c>
      <c r="E115" s="36">
        <v>180319</v>
      </c>
    </row>
    <row r="116" spans="1:5" hidden="1" x14ac:dyDescent="0.2">
      <c r="A116" s="33">
        <v>2024</v>
      </c>
      <c r="B116" s="34" t="s">
        <v>89</v>
      </c>
      <c r="C116" s="34" t="s">
        <v>101</v>
      </c>
      <c r="D116" s="35">
        <v>5</v>
      </c>
      <c r="E116" s="36">
        <v>182980</v>
      </c>
    </row>
    <row r="117" spans="1:5" hidden="1" x14ac:dyDescent="0.2">
      <c r="A117" s="33">
        <v>2024</v>
      </c>
      <c r="B117" s="34" t="s">
        <v>89</v>
      </c>
      <c r="C117" s="34" t="s">
        <v>101</v>
      </c>
      <c r="D117" s="35">
        <v>6</v>
      </c>
      <c r="E117" s="36">
        <v>184108</v>
      </c>
    </row>
    <row r="118" spans="1:5" hidden="1" x14ac:dyDescent="0.2">
      <c r="A118" s="33">
        <v>2024</v>
      </c>
      <c r="B118" s="34" t="s">
        <v>89</v>
      </c>
      <c r="C118" s="34" t="s">
        <v>101</v>
      </c>
      <c r="D118" s="35">
        <v>7</v>
      </c>
      <c r="E118" s="36">
        <v>186941</v>
      </c>
    </row>
    <row r="119" spans="1:5" hidden="1" x14ac:dyDescent="0.2">
      <c r="A119" s="33">
        <v>2024</v>
      </c>
      <c r="B119" s="34" t="s">
        <v>89</v>
      </c>
      <c r="C119" s="34" t="s">
        <v>101</v>
      </c>
      <c r="D119" s="35">
        <v>8</v>
      </c>
      <c r="E119" s="36">
        <v>188586</v>
      </c>
    </row>
    <row r="120" spans="1:5" hidden="1" x14ac:dyDescent="0.2">
      <c r="A120" s="33">
        <v>2024</v>
      </c>
      <c r="B120" s="34" t="s">
        <v>89</v>
      </c>
      <c r="C120" s="34" t="s">
        <v>101</v>
      </c>
      <c r="D120" s="35">
        <v>9</v>
      </c>
      <c r="E120" s="36">
        <v>188586</v>
      </c>
    </row>
    <row r="121" spans="1:5" hidden="1" x14ac:dyDescent="0.2">
      <c r="A121" s="33">
        <v>2024</v>
      </c>
      <c r="B121" s="34" t="s">
        <v>89</v>
      </c>
      <c r="C121" s="34" t="s">
        <v>101</v>
      </c>
      <c r="D121" s="35">
        <v>10</v>
      </c>
      <c r="E121" s="36">
        <v>192093</v>
      </c>
    </row>
    <row r="122" spans="1:5" x14ac:dyDescent="0.2">
      <c r="A122" s="33">
        <v>2024</v>
      </c>
      <c r="B122" s="34" t="s">
        <v>89</v>
      </c>
      <c r="C122" s="34" t="s">
        <v>98</v>
      </c>
      <c r="D122" s="35">
        <v>1</v>
      </c>
      <c r="E122" s="36">
        <v>212976</v>
      </c>
    </row>
    <row r="123" spans="1:5" hidden="1" x14ac:dyDescent="0.2">
      <c r="A123" s="33">
        <v>2024</v>
      </c>
      <c r="B123" s="34" t="s">
        <v>89</v>
      </c>
      <c r="C123" s="34" t="s">
        <v>102</v>
      </c>
      <c r="D123" s="35">
        <v>2</v>
      </c>
      <c r="E123" s="36">
        <v>175596</v>
      </c>
    </row>
    <row r="124" spans="1:5" hidden="1" x14ac:dyDescent="0.2">
      <c r="A124" s="33">
        <v>2024</v>
      </c>
      <c r="B124" s="34" t="s">
        <v>89</v>
      </c>
      <c r="C124" s="34" t="s">
        <v>102</v>
      </c>
      <c r="D124" s="35">
        <v>3</v>
      </c>
      <c r="E124" s="36">
        <v>181852</v>
      </c>
    </row>
    <row r="125" spans="1:5" hidden="1" x14ac:dyDescent="0.2">
      <c r="A125" s="33">
        <v>2024</v>
      </c>
      <c r="B125" s="34" t="s">
        <v>89</v>
      </c>
      <c r="C125" s="34" t="s">
        <v>102</v>
      </c>
      <c r="D125" s="35">
        <v>4</v>
      </c>
      <c r="E125" s="36">
        <v>187938</v>
      </c>
    </row>
    <row r="126" spans="1:5" hidden="1" x14ac:dyDescent="0.2">
      <c r="A126" s="33">
        <v>2024</v>
      </c>
      <c r="B126" s="34" t="s">
        <v>89</v>
      </c>
      <c r="C126" s="34" t="s">
        <v>102</v>
      </c>
      <c r="D126" s="35">
        <v>5</v>
      </c>
      <c r="E126" s="36">
        <v>193282</v>
      </c>
    </row>
    <row r="127" spans="1:5" hidden="1" x14ac:dyDescent="0.2">
      <c r="A127" s="33">
        <v>2024</v>
      </c>
      <c r="B127" s="34" t="s">
        <v>89</v>
      </c>
      <c r="C127" s="34" t="s">
        <v>102</v>
      </c>
      <c r="D127" s="35">
        <v>6</v>
      </c>
      <c r="E127" s="36">
        <v>196714</v>
      </c>
    </row>
    <row r="128" spans="1:5" hidden="1" x14ac:dyDescent="0.2">
      <c r="A128" s="33">
        <v>2024</v>
      </c>
      <c r="B128" s="34" t="s">
        <v>89</v>
      </c>
      <c r="C128" s="34" t="s">
        <v>102</v>
      </c>
      <c r="D128" s="35">
        <v>7</v>
      </c>
      <c r="E128" s="36">
        <v>198703</v>
      </c>
    </row>
    <row r="129" spans="1:5" hidden="1" x14ac:dyDescent="0.2">
      <c r="A129" s="33">
        <v>2024</v>
      </c>
      <c r="B129" s="34" t="s">
        <v>89</v>
      </c>
      <c r="C129" s="34" t="s">
        <v>102</v>
      </c>
      <c r="D129" s="35">
        <v>8</v>
      </c>
      <c r="E129" s="36">
        <v>197155</v>
      </c>
    </row>
    <row r="130" spans="1:5" hidden="1" x14ac:dyDescent="0.2">
      <c r="A130" s="33">
        <v>2024</v>
      </c>
      <c r="B130" s="34" t="s">
        <v>89</v>
      </c>
      <c r="C130" s="34" t="s">
        <v>102</v>
      </c>
      <c r="D130" s="35">
        <v>9</v>
      </c>
      <c r="E130" s="36">
        <v>196932</v>
      </c>
    </row>
    <row r="131" spans="1:5" hidden="1" x14ac:dyDescent="0.2">
      <c r="A131" s="33">
        <v>2024</v>
      </c>
      <c r="B131" s="34" t="s">
        <v>89</v>
      </c>
      <c r="C131" s="34" t="s">
        <v>102</v>
      </c>
      <c r="D131" s="35">
        <v>10</v>
      </c>
      <c r="E131" s="36">
        <v>194809</v>
      </c>
    </row>
    <row r="132" spans="1:5" x14ac:dyDescent="0.2">
      <c r="A132" s="33">
        <v>2024</v>
      </c>
      <c r="B132" s="34" t="s">
        <v>110</v>
      </c>
      <c r="C132" s="34" t="s">
        <v>98</v>
      </c>
      <c r="D132" s="35">
        <v>1</v>
      </c>
      <c r="E132" s="36">
        <v>238057</v>
      </c>
    </row>
    <row r="133" spans="1:5" hidden="1" x14ac:dyDescent="0.2">
      <c r="A133" s="33">
        <v>2024</v>
      </c>
      <c r="B133" s="34" t="s">
        <v>89</v>
      </c>
      <c r="C133" s="34" t="s">
        <v>103</v>
      </c>
      <c r="D133" s="35">
        <v>2</v>
      </c>
      <c r="E133" s="36">
        <v>156808</v>
      </c>
    </row>
    <row r="134" spans="1:5" hidden="1" x14ac:dyDescent="0.2">
      <c r="A134" s="33">
        <v>2024</v>
      </c>
      <c r="B134" s="34" t="s">
        <v>89</v>
      </c>
      <c r="C134" s="34" t="s">
        <v>103</v>
      </c>
      <c r="D134" s="35">
        <v>3</v>
      </c>
      <c r="E134" s="36">
        <v>164071</v>
      </c>
    </row>
    <row r="135" spans="1:5" hidden="1" x14ac:dyDescent="0.2">
      <c r="A135" s="33">
        <v>2024</v>
      </c>
      <c r="B135" s="34" t="s">
        <v>89</v>
      </c>
      <c r="C135" s="34" t="s">
        <v>103</v>
      </c>
      <c r="D135" s="35">
        <v>4</v>
      </c>
      <c r="E135" s="36">
        <v>172617</v>
      </c>
    </row>
    <row r="136" spans="1:5" hidden="1" x14ac:dyDescent="0.2">
      <c r="A136" s="33">
        <v>2024</v>
      </c>
      <c r="B136" s="34" t="s">
        <v>89</v>
      </c>
      <c r="C136" s="34" t="s">
        <v>103</v>
      </c>
      <c r="D136" s="35">
        <v>5</v>
      </c>
      <c r="E136" s="36">
        <v>179522</v>
      </c>
    </row>
    <row r="137" spans="1:5" hidden="1" x14ac:dyDescent="0.2">
      <c r="A137" s="33">
        <v>2024</v>
      </c>
      <c r="B137" s="34" t="s">
        <v>89</v>
      </c>
      <c r="C137" s="34" t="s">
        <v>103</v>
      </c>
      <c r="D137" s="35">
        <v>6</v>
      </c>
      <c r="E137" s="36">
        <v>185655</v>
      </c>
    </row>
    <row r="138" spans="1:5" hidden="1" x14ac:dyDescent="0.2">
      <c r="A138" s="33">
        <v>2024</v>
      </c>
      <c r="B138" s="34" t="s">
        <v>89</v>
      </c>
      <c r="C138" s="34" t="s">
        <v>103</v>
      </c>
      <c r="D138" s="35">
        <v>7</v>
      </c>
      <c r="E138" s="36">
        <v>186413</v>
      </c>
    </row>
    <row r="139" spans="1:5" hidden="1" x14ac:dyDescent="0.2">
      <c r="A139" s="33">
        <v>2024</v>
      </c>
      <c r="B139" s="34" t="s">
        <v>89</v>
      </c>
      <c r="C139" s="34" t="s">
        <v>103</v>
      </c>
      <c r="D139" s="35">
        <v>8</v>
      </c>
      <c r="E139" s="36">
        <v>184350</v>
      </c>
    </row>
    <row r="140" spans="1:5" hidden="1" x14ac:dyDescent="0.2">
      <c r="A140" s="33">
        <v>2024</v>
      </c>
      <c r="B140" s="34" t="s">
        <v>89</v>
      </c>
      <c r="C140" s="34" t="s">
        <v>103</v>
      </c>
      <c r="D140" s="35">
        <v>9</v>
      </c>
      <c r="E140" s="36">
        <v>182941</v>
      </c>
    </row>
    <row r="141" spans="1:5" hidden="1" x14ac:dyDescent="0.2">
      <c r="A141" s="33">
        <v>2024</v>
      </c>
      <c r="B141" s="34" t="s">
        <v>89</v>
      </c>
      <c r="C141" s="34" t="s">
        <v>103</v>
      </c>
      <c r="D141" s="35">
        <v>10</v>
      </c>
      <c r="E141" s="36">
        <v>182781</v>
      </c>
    </row>
    <row r="142" spans="1:5" x14ac:dyDescent="0.2">
      <c r="A142" s="33">
        <v>2024</v>
      </c>
      <c r="B142" s="34" t="s">
        <v>89</v>
      </c>
      <c r="C142" s="34" t="s">
        <v>99</v>
      </c>
      <c r="D142" s="35">
        <v>1</v>
      </c>
      <c r="E142" s="36">
        <v>194226</v>
      </c>
    </row>
    <row r="143" spans="1:5" hidden="1" x14ac:dyDescent="0.2">
      <c r="A143" s="33">
        <v>2024</v>
      </c>
      <c r="B143" s="34" t="s">
        <v>89</v>
      </c>
      <c r="C143" s="34" t="s">
        <v>104</v>
      </c>
      <c r="D143" s="35">
        <v>2</v>
      </c>
      <c r="E143" s="36">
        <v>121911</v>
      </c>
    </row>
    <row r="144" spans="1:5" hidden="1" x14ac:dyDescent="0.2">
      <c r="A144" s="33">
        <v>2024</v>
      </c>
      <c r="B144" s="34" t="s">
        <v>89</v>
      </c>
      <c r="C144" s="34" t="s">
        <v>104</v>
      </c>
      <c r="D144" s="35">
        <v>3</v>
      </c>
      <c r="E144" s="36">
        <v>129578</v>
      </c>
    </row>
    <row r="145" spans="1:5" hidden="1" x14ac:dyDescent="0.2">
      <c r="A145" s="33">
        <v>2024</v>
      </c>
      <c r="B145" s="34" t="s">
        <v>89</v>
      </c>
      <c r="C145" s="34" t="s">
        <v>104</v>
      </c>
      <c r="D145" s="35">
        <v>4</v>
      </c>
      <c r="E145" s="36">
        <v>140913</v>
      </c>
    </row>
    <row r="146" spans="1:5" hidden="1" x14ac:dyDescent="0.2">
      <c r="A146" s="33">
        <v>2024</v>
      </c>
      <c r="B146" s="34" t="s">
        <v>89</v>
      </c>
      <c r="C146" s="34" t="s">
        <v>104</v>
      </c>
      <c r="D146" s="35">
        <v>5</v>
      </c>
      <c r="E146" s="36">
        <v>149441</v>
      </c>
    </row>
    <row r="147" spans="1:5" hidden="1" x14ac:dyDescent="0.2">
      <c r="A147" s="33">
        <v>2024</v>
      </c>
      <c r="B147" s="34" t="s">
        <v>89</v>
      </c>
      <c r="C147" s="34" t="s">
        <v>104</v>
      </c>
      <c r="D147" s="35">
        <v>6</v>
      </c>
      <c r="E147" s="36">
        <v>154720</v>
      </c>
    </row>
    <row r="148" spans="1:5" hidden="1" x14ac:dyDescent="0.2">
      <c r="A148" s="33">
        <v>2024</v>
      </c>
      <c r="B148" s="34" t="s">
        <v>89</v>
      </c>
      <c r="C148" s="34" t="s">
        <v>104</v>
      </c>
      <c r="D148" s="35">
        <v>7</v>
      </c>
      <c r="E148" s="36">
        <v>156102</v>
      </c>
    </row>
    <row r="149" spans="1:5" hidden="1" x14ac:dyDescent="0.2">
      <c r="A149" s="33">
        <v>2024</v>
      </c>
      <c r="B149" s="34" t="s">
        <v>89</v>
      </c>
      <c r="C149" s="34" t="s">
        <v>104</v>
      </c>
      <c r="D149" s="35">
        <v>8</v>
      </c>
      <c r="E149" s="36">
        <v>155104</v>
      </c>
    </row>
    <row r="150" spans="1:5" hidden="1" x14ac:dyDescent="0.2">
      <c r="A150" s="33">
        <v>2024</v>
      </c>
      <c r="B150" s="34" t="s">
        <v>89</v>
      </c>
      <c r="C150" s="34" t="s">
        <v>104</v>
      </c>
      <c r="D150" s="35">
        <v>9</v>
      </c>
      <c r="E150" s="36">
        <v>154098</v>
      </c>
    </row>
    <row r="151" spans="1:5" hidden="1" x14ac:dyDescent="0.2">
      <c r="A151" s="33">
        <v>2024</v>
      </c>
      <c r="B151" s="34" t="s">
        <v>89</v>
      </c>
      <c r="C151" s="34" t="s">
        <v>104</v>
      </c>
      <c r="D151" s="35">
        <v>10</v>
      </c>
      <c r="E151" s="36">
        <v>155400</v>
      </c>
    </row>
    <row r="152" spans="1:5" x14ac:dyDescent="0.2">
      <c r="A152" s="33">
        <v>2024</v>
      </c>
      <c r="B152" s="34" t="s">
        <v>110</v>
      </c>
      <c r="C152" s="34" t="s">
        <v>99</v>
      </c>
      <c r="D152" s="35">
        <v>1</v>
      </c>
      <c r="E152" s="36">
        <v>207794</v>
      </c>
    </row>
    <row r="153" spans="1:5" hidden="1" x14ac:dyDescent="0.2">
      <c r="A153" s="33">
        <v>2024</v>
      </c>
      <c r="B153" s="34" t="s">
        <v>89</v>
      </c>
      <c r="C153" s="34" t="s">
        <v>105</v>
      </c>
      <c r="D153" s="35">
        <v>2</v>
      </c>
      <c r="E153" s="36">
        <v>95902</v>
      </c>
    </row>
    <row r="154" spans="1:5" hidden="1" x14ac:dyDescent="0.2">
      <c r="A154" s="33">
        <v>2024</v>
      </c>
      <c r="B154" s="34" t="s">
        <v>89</v>
      </c>
      <c r="C154" s="34" t="s">
        <v>105</v>
      </c>
      <c r="D154" s="35">
        <v>3</v>
      </c>
      <c r="E154" s="36">
        <v>104466</v>
      </c>
    </row>
    <row r="155" spans="1:5" hidden="1" x14ac:dyDescent="0.2">
      <c r="A155" s="33">
        <v>2024</v>
      </c>
      <c r="B155" s="34" t="s">
        <v>89</v>
      </c>
      <c r="C155" s="34" t="s">
        <v>105</v>
      </c>
      <c r="D155" s="35">
        <v>4</v>
      </c>
      <c r="E155" s="36">
        <v>117783</v>
      </c>
    </row>
    <row r="156" spans="1:5" hidden="1" x14ac:dyDescent="0.2">
      <c r="A156" s="33">
        <v>2024</v>
      </c>
      <c r="B156" s="34" t="s">
        <v>89</v>
      </c>
      <c r="C156" s="34" t="s">
        <v>105</v>
      </c>
      <c r="D156" s="35">
        <v>5</v>
      </c>
      <c r="E156" s="36">
        <v>126752</v>
      </c>
    </row>
    <row r="157" spans="1:5" hidden="1" x14ac:dyDescent="0.2">
      <c r="A157" s="33">
        <v>2024</v>
      </c>
      <c r="B157" s="34" t="s">
        <v>89</v>
      </c>
      <c r="C157" s="34" t="s">
        <v>105</v>
      </c>
      <c r="D157" s="35">
        <v>6</v>
      </c>
      <c r="E157" s="36">
        <v>134042</v>
      </c>
    </row>
    <row r="158" spans="1:5" hidden="1" x14ac:dyDescent="0.2">
      <c r="A158" s="33">
        <v>2024</v>
      </c>
      <c r="B158" s="34" t="s">
        <v>89</v>
      </c>
      <c r="C158" s="34" t="s">
        <v>105</v>
      </c>
      <c r="D158" s="35">
        <v>7</v>
      </c>
      <c r="E158" s="36">
        <v>136868</v>
      </c>
    </row>
    <row r="159" spans="1:5" hidden="1" x14ac:dyDescent="0.2">
      <c r="A159" s="33">
        <v>2024</v>
      </c>
      <c r="B159" s="34" t="s">
        <v>89</v>
      </c>
      <c r="C159" s="34" t="s">
        <v>105</v>
      </c>
      <c r="D159" s="35">
        <v>8</v>
      </c>
      <c r="E159" s="36">
        <v>138194</v>
      </c>
    </row>
    <row r="160" spans="1:5" hidden="1" x14ac:dyDescent="0.2">
      <c r="A160" s="33">
        <v>2024</v>
      </c>
      <c r="B160" s="34" t="s">
        <v>89</v>
      </c>
      <c r="C160" s="34" t="s">
        <v>105</v>
      </c>
      <c r="D160" s="35">
        <v>9</v>
      </c>
      <c r="E160" s="36">
        <v>138266</v>
      </c>
    </row>
    <row r="161" spans="1:5" hidden="1" x14ac:dyDescent="0.2">
      <c r="A161" s="33">
        <v>2024</v>
      </c>
      <c r="B161" s="34" t="s">
        <v>89</v>
      </c>
      <c r="C161" s="34" t="s">
        <v>105</v>
      </c>
      <c r="D161" s="35">
        <v>10</v>
      </c>
      <c r="E161" s="36">
        <v>140126</v>
      </c>
    </row>
    <row r="162" spans="1:5" x14ac:dyDescent="0.2">
      <c r="A162" s="33">
        <v>2024</v>
      </c>
      <c r="B162" s="34" t="s">
        <v>89</v>
      </c>
      <c r="C162" s="34" t="s">
        <v>100</v>
      </c>
      <c r="D162" s="35">
        <v>1</v>
      </c>
      <c r="E162" s="36">
        <v>169270</v>
      </c>
    </row>
    <row r="163" spans="1:5" hidden="1" x14ac:dyDescent="0.2">
      <c r="A163" s="33">
        <v>2024</v>
      </c>
      <c r="B163" s="34" t="s">
        <v>89</v>
      </c>
      <c r="C163" s="34" t="s">
        <v>106</v>
      </c>
      <c r="D163" s="35">
        <v>2</v>
      </c>
      <c r="E163" s="36">
        <v>76312</v>
      </c>
    </row>
    <row r="164" spans="1:5" hidden="1" x14ac:dyDescent="0.2">
      <c r="A164" s="33">
        <v>2024</v>
      </c>
      <c r="B164" s="34" t="s">
        <v>89</v>
      </c>
      <c r="C164" s="34" t="s">
        <v>106</v>
      </c>
      <c r="D164" s="35">
        <v>3</v>
      </c>
      <c r="E164" s="36">
        <v>88506</v>
      </c>
    </row>
    <row r="165" spans="1:5" hidden="1" x14ac:dyDescent="0.2">
      <c r="A165" s="33">
        <v>2024</v>
      </c>
      <c r="B165" s="34" t="s">
        <v>89</v>
      </c>
      <c r="C165" s="34" t="s">
        <v>106</v>
      </c>
      <c r="D165" s="35">
        <v>4</v>
      </c>
      <c r="E165" s="36">
        <v>105504</v>
      </c>
    </row>
    <row r="166" spans="1:5" hidden="1" x14ac:dyDescent="0.2">
      <c r="A166" s="33">
        <v>2024</v>
      </c>
      <c r="B166" s="34" t="s">
        <v>89</v>
      </c>
      <c r="C166" s="34" t="s">
        <v>106</v>
      </c>
      <c r="D166" s="35">
        <v>5</v>
      </c>
      <c r="E166" s="36">
        <v>118101</v>
      </c>
    </row>
    <row r="167" spans="1:5" hidden="1" x14ac:dyDescent="0.2">
      <c r="A167" s="33">
        <v>2024</v>
      </c>
      <c r="B167" s="34" t="s">
        <v>89</v>
      </c>
      <c r="C167" s="34" t="s">
        <v>106</v>
      </c>
      <c r="D167" s="35">
        <v>6</v>
      </c>
      <c r="E167" s="36">
        <v>127668</v>
      </c>
    </row>
    <row r="168" spans="1:5" hidden="1" x14ac:dyDescent="0.2">
      <c r="A168" s="33">
        <v>2024</v>
      </c>
      <c r="B168" s="34" t="s">
        <v>89</v>
      </c>
      <c r="C168" s="34" t="s">
        <v>106</v>
      </c>
      <c r="D168" s="35">
        <v>7</v>
      </c>
      <c r="E168" s="36">
        <v>133458</v>
      </c>
    </row>
    <row r="169" spans="1:5" hidden="1" x14ac:dyDescent="0.2">
      <c r="A169" s="33">
        <v>2024</v>
      </c>
      <c r="B169" s="34" t="s">
        <v>89</v>
      </c>
      <c r="C169" s="34" t="s">
        <v>106</v>
      </c>
      <c r="D169" s="35">
        <v>8</v>
      </c>
      <c r="E169" s="36">
        <v>135586</v>
      </c>
    </row>
    <row r="170" spans="1:5" hidden="1" x14ac:dyDescent="0.2">
      <c r="A170" s="33">
        <v>2024</v>
      </c>
      <c r="B170" s="34" t="s">
        <v>89</v>
      </c>
      <c r="C170" s="34" t="s">
        <v>106</v>
      </c>
      <c r="D170" s="35">
        <v>9</v>
      </c>
      <c r="E170" s="36">
        <v>137879</v>
      </c>
    </row>
    <row r="171" spans="1:5" hidden="1" x14ac:dyDescent="0.2">
      <c r="A171" s="33">
        <v>2024</v>
      </c>
      <c r="B171" s="34" t="s">
        <v>89</v>
      </c>
      <c r="C171" s="34" t="s">
        <v>106</v>
      </c>
      <c r="D171" s="35">
        <v>10</v>
      </c>
      <c r="E171" s="36">
        <v>143455</v>
      </c>
    </row>
    <row r="172" spans="1:5" x14ac:dyDescent="0.2">
      <c r="A172" s="33">
        <v>2024</v>
      </c>
      <c r="B172" s="34" t="s">
        <v>110</v>
      </c>
      <c r="C172" s="34" t="s">
        <v>100</v>
      </c>
      <c r="D172" s="35">
        <v>1</v>
      </c>
      <c r="E172" s="36">
        <v>171771</v>
      </c>
    </row>
    <row r="173" spans="1:5" hidden="1" x14ac:dyDescent="0.2">
      <c r="A173" s="33">
        <v>2024</v>
      </c>
      <c r="B173" s="34" t="s">
        <v>89</v>
      </c>
      <c r="C173" s="34" t="s">
        <v>107</v>
      </c>
      <c r="D173" s="35">
        <v>2</v>
      </c>
      <c r="E173" s="36">
        <v>43238</v>
      </c>
    </row>
    <row r="174" spans="1:5" hidden="1" x14ac:dyDescent="0.2">
      <c r="A174" s="33">
        <v>2024</v>
      </c>
      <c r="B174" s="34" t="s">
        <v>89</v>
      </c>
      <c r="C174" s="34" t="s">
        <v>107</v>
      </c>
      <c r="D174" s="35">
        <v>3</v>
      </c>
      <c r="E174" s="36">
        <v>52059</v>
      </c>
    </row>
    <row r="175" spans="1:5" hidden="1" x14ac:dyDescent="0.2">
      <c r="A175" s="33">
        <v>2024</v>
      </c>
      <c r="B175" s="34" t="s">
        <v>89</v>
      </c>
      <c r="C175" s="34" t="s">
        <v>107</v>
      </c>
      <c r="D175" s="35">
        <v>4</v>
      </c>
      <c r="E175" s="36">
        <v>62897</v>
      </c>
    </row>
    <row r="176" spans="1:5" hidden="1" x14ac:dyDescent="0.2">
      <c r="A176" s="33">
        <v>2024</v>
      </c>
      <c r="B176" s="34" t="s">
        <v>89</v>
      </c>
      <c r="C176" s="34" t="s">
        <v>107</v>
      </c>
      <c r="D176" s="35">
        <v>5</v>
      </c>
      <c r="E176" s="36">
        <v>71437</v>
      </c>
    </row>
    <row r="177" spans="1:5" hidden="1" x14ac:dyDescent="0.2">
      <c r="A177" s="33">
        <v>2024</v>
      </c>
      <c r="B177" s="34" t="s">
        <v>89</v>
      </c>
      <c r="C177" s="34" t="s">
        <v>107</v>
      </c>
      <c r="D177" s="35">
        <v>6</v>
      </c>
      <c r="E177" s="36">
        <v>77918</v>
      </c>
    </row>
    <row r="178" spans="1:5" hidden="1" x14ac:dyDescent="0.2">
      <c r="A178" s="33">
        <v>2024</v>
      </c>
      <c r="B178" s="34" t="s">
        <v>89</v>
      </c>
      <c r="C178" s="34" t="s">
        <v>107</v>
      </c>
      <c r="D178" s="35">
        <v>7</v>
      </c>
      <c r="E178" s="36">
        <v>82697</v>
      </c>
    </row>
    <row r="179" spans="1:5" hidden="1" x14ac:dyDescent="0.2">
      <c r="A179" s="33">
        <v>2024</v>
      </c>
      <c r="B179" s="34" t="s">
        <v>89</v>
      </c>
      <c r="C179" s="34" t="s">
        <v>107</v>
      </c>
      <c r="D179" s="35">
        <v>8</v>
      </c>
      <c r="E179" s="36">
        <v>84398</v>
      </c>
    </row>
    <row r="180" spans="1:5" hidden="1" x14ac:dyDescent="0.2">
      <c r="A180" s="33">
        <v>2024</v>
      </c>
      <c r="B180" s="34" t="s">
        <v>89</v>
      </c>
      <c r="C180" s="34" t="s">
        <v>107</v>
      </c>
      <c r="D180" s="35">
        <v>9</v>
      </c>
      <c r="E180" s="36">
        <v>86403</v>
      </c>
    </row>
    <row r="181" spans="1:5" hidden="1" x14ac:dyDescent="0.2">
      <c r="A181" s="33">
        <v>2024</v>
      </c>
      <c r="B181" s="34" t="s">
        <v>89</v>
      </c>
      <c r="C181" s="34" t="s">
        <v>107</v>
      </c>
      <c r="D181" s="35">
        <v>10</v>
      </c>
      <c r="E181" s="36">
        <v>89092</v>
      </c>
    </row>
    <row r="182" spans="1:5" x14ac:dyDescent="0.2">
      <c r="A182" s="33">
        <v>2024</v>
      </c>
      <c r="B182" s="34" t="s">
        <v>89</v>
      </c>
      <c r="C182" s="34" t="s">
        <v>101</v>
      </c>
      <c r="D182" s="35">
        <v>1</v>
      </c>
      <c r="E182" s="36">
        <v>170872</v>
      </c>
    </row>
    <row r="183" spans="1:5" hidden="1" x14ac:dyDescent="0.2">
      <c r="A183" s="33">
        <v>2024</v>
      </c>
      <c r="B183" s="34" t="s">
        <v>89</v>
      </c>
      <c r="C183" s="34" t="s">
        <v>108</v>
      </c>
      <c r="D183" s="35">
        <v>2</v>
      </c>
      <c r="E183" s="36">
        <v>22269</v>
      </c>
    </row>
    <row r="184" spans="1:5" hidden="1" x14ac:dyDescent="0.2">
      <c r="A184" s="33">
        <v>2024</v>
      </c>
      <c r="B184" s="34" t="s">
        <v>89</v>
      </c>
      <c r="C184" s="34" t="s">
        <v>108</v>
      </c>
      <c r="D184" s="35">
        <v>3</v>
      </c>
      <c r="E184" s="36">
        <v>27985</v>
      </c>
    </row>
    <row r="185" spans="1:5" hidden="1" x14ac:dyDescent="0.2">
      <c r="A185" s="33">
        <v>2024</v>
      </c>
      <c r="B185" s="34" t="s">
        <v>89</v>
      </c>
      <c r="C185" s="34" t="s">
        <v>108</v>
      </c>
      <c r="D185" s="35">
        <v>4</v>
      </c>
      <c r="E185" s="36">
        <v>33797</v>
      </c>
    </row>
    <row r="186" spans="1:5" hidden="1" x14ac:dyDescent="0.2">
      <c r="A186" s="33">
        <v>2024</v>
      </c>
      <c r="B186" s="34" t="s">
        <v>89</v>
      </c>
      <c r="C186" s="34" t="s">
        <v>108</v>
      </c>
      <c r="D186" s="35">
        <v>5</v>
      </c>
      <c r="E186" s="36">
        <v>39832</v>
      </c>
    </row>
    <row r="187" spans="1:5" hidden="1" x14ac:dyDescent="0.2">
      <c r="A187" s="33">
        <v>2024</v>
      </c>
      <c r="B187" s="34" t="s">
        <v>89</v>
      </c>
      <c r="C187" s="34" t="s">
        <v>108</v>
      </c>
      <c r="D187" s="35">
        <v>6</v>
      </c>
      <c r="E187" s="36">
        <v>43963</v>
      </c>
    </row>
    <row r="188" spans="1:5" hidden="1" x14ac:dyDescent="0.2">
      <c r="A188" s="33">
        <v>2024</v>
      </c>
      <c r="B188" s="34" t="s">
        <v>89</v>
      </c>
      <c r="C188" s="34" t="s">
        <v>108</v>
      </c>
      <c r="D188" s="35">
        <v>7</v>
      </c>
      <c r="E188" s="36">
        <v>47766</v>
      </c>
    </row>
    <row r="189" spans="1:5" hidden="1" x14ac:dyDescent="0.2">
      <c r="A189" s="33">
        <v>2024</v>
      </c>
      <c r="B189" s="34" t="s">
        <v>89</v>
      </c>
      <c r="C189" s="34" t="s">
        <v>108</v>
      </c>
      <c r="D189" s="35">
        <v>8</v>
      </c>
      <c r="E189" s="36">
        <v>49108</v>
      </c>
    </row>
    <row r="190" spans="1:5" hidden="1" x14ac:dyDescent="0.2">
      <c r="A190" s="33">
        <v>2024</v>
      </c>
      <c r="B190" s="34" t="s">
        <v>89</v>
      </c>
      <c r="C190" s="34" t="s">
        <v>108</v>
      </c>
      <c r="D190" s="35">
        <v>9</v>
      </c>
      <c r="E190" s="36">
        <v>51706</v>
      </c>
    </row>
    <row r="191" spans="1:5" hidden="1" x14ac:dyDescent="0.2">
      <c r="A191" s="33">
        <v>2024</v>
      </c>
      <c r="B191" s="34" t="s">
        <v>89</v>
      </c>
      <c r="C191" s="34" t="s">
        <v>108</v>
      </c>
      <c r="D191" s="35">
        <v>10</v>
      </c>
      <c r="E191" s="36">
        <v>56090</v>
      </c>
    </row>
    <row r="192" spans="1:5" x14ac:dyDescent="0.2">
      <c r="A192" s="33">
        <v>2024</v>
      </c>
      <c r="B192" s="34" t="s">
        <v>110</v>
      </c>
      <c r="C192" s="34" t="s">
        <v>101</v>
      </c>
      <c r="D192" s="35">
        <v>1</v>
      </c>
      <c r="E192" s="36">
        <v>173814</v>
      </c>
    </row>
    <row r="193" spans="1:5" hidden="1" x14ac:dyDescent="0.2">
      <c r="A193" s="33">
        <v>2024</v>
      </c>
      <c r="B193" s="34" t="s">
        <v>89</v>
      </c>
      <c r="C193" s="34" t="s">
        <v>109</v>
      </c>
      <c r="D193" s="35">
        <v>2</v>
      </c>
      <c r="E193" s="36">
        <v>10993</v>
      </c>
    </row>
    <row r="194" spans="1:5" hidden="1" x14ac:dyDescent="0.2">
      <c r="A194" s="33">
        <v>2024</v>
      </c>
      <c r="B194" s="34" t="s">
        <v>89</v>
      </c>
      <c r="C194" s="34" t="s">
        <v>109</v>
      </c>
      <c r="D194" s="35">
        <v>3</v>
      </c>
      <c r="E194" s="36">
        <v>13491</v>
      </c>
    </row>
    <row r="195" spans="1:5" hidden="1" x14ac:dyDescent="0.2">
      <c r="A195" s="33">
        <v>2024</v>
      </c>
      <c r="B195" s="34" t="s">
        <v>89</v>
      </c>
      <c r="C195" s="34" t="s">
        <v>109</v>
      </c>
      <c r="D195" s="35">
        <v>4</v>
      </c>
      <c r="E195" s="36">
        <v>16207</v>
      </c>
    </row>
    <row r="196" spans="1:5" hidden="1" x14ac:dyDescent="0.2">
      <c r="A196" s="33">
        <v>2024</v>
      </c>
      <c r="B196" s="34" t="s">
        <v>89</v>
      </c>
      <c r="C196" s="34" t="s">
        <v>109</v>
      </c>
      <c r="D196" s="35">
        <v>5</v>
      </c>
      <c r="E196" s="36">
        <v>18248</v>
      </c>
    </row>
    <row r="197" spans="1:5" hidden="1" x14ac:dyDescent="0.2">
      <c r="A197" s="33">
        <v>2024</v>
      </c>
      <c r="B197" s="34" t="s">
        <v>89</v>
      </c>
      <c r="C197" s="34" t="s">
        <v>109</v>
      </c>
      <c r="D197" s="35">
        <v>6</v>
      </c>
      <c r="E197" s="36">
        <v>19609</v>
      </c>
    </row>
    <row r="198" spans="1:5" hidden="1" x14ac:dyDescent="0.2">
      <c r="A198" s="33">
        <v>2024</v>
      </c>
      <c r="B198" s="34" t="s">
        <v>89</v>
      </c>
      <c r="C198" s="34" t="s">
        <v>109</v>
      </c>
      <c r="D198" s="35">
        <v>7</v>
      </c>
      <c r="E198" s="36">
        <v>21639</v>
      </c>
    </row>
    <row r="199" spans="1:5" hidden="1" x14ac:dyDescent="0.2">
      <c r="A199" s="33">
        <v>2024</v>
      </c>
      <c r="B199" s="34" t="s">
        <v>89</v>
      </c>
      <c r="C199" s="34" t="s">
        <v>109</v>
      </c>
      <c r="D199" s="35">
        <v>8</v>
      </c>
      <c r="E199" s="36">
        <v>21717</v>
      </c>
    </row>
    <row r="200" spans="1:5" hidden="1" x14ac:dyDescent="0.2">
      <c r="A200" s="33">
        <v>2024</v>
      </c>
      <c r="B200" s="34" t="s">
        <v>89</v>
      </c>
      <c r="C200" s="34" t="s">
        <v>109</v>
      </c>
      <c r="D200" s="35">
        <v>9</v>
      </c>
      <c r="E200" s="36">
        <v>22901</v>
      </c>
    </row>
    <row r="201" spans="1:5" hidden="1" x14ac:dyDescent="0.2">
      <c r="A201" s="33">
        <v>2024</v>
      </c>
      <c r="B201" s="34" t="s">
        <v>89</v>
      </c>
      <c r="C201" s="34" t="s">
        <v>109</v>
      </c>
      <c r="D201" s="35">
        <v>10</v>
      </c>
      <c r="E201" s="36">
        <v>25296</v>
      </c>
    </row>
    <row r="202" spans="1:5" hidden="1" x14ac:dyDescent="0.2">
      <c r="A202" s="33">
        <v>2024</v>
      </c>
      <c r="B202" s="34" t="s">
        <v>110</v>
      </c>
      <c r="C202" s="34" t="s">
        <v>90</v>
      </c>
      <c r="D202" s="35">
        <v>1</v>
      </c>
      <c r="E202" s="36">
        <v>37659</v>
      </c>
    </row>
    <row r="203" spans="1:5" hidden="1" x14ac:dyDescent="0.2">
      <c r="A203" s="33">
        <v>2024</v>
      </c>
      <c r="B203" s="34" t="s">
        <v>110</v>
      </c>
      <c r="C203" s="34" t="s">
        <v>90</v>
      </c>
      <c r="D203" s="35">
        <v>2</v>
      </c>
      <c r="E203" s="36">
        <v>33035</v>
      </c>
    </row>
    <row r="204" spans="1:5" hidden="1" x14ac:dyDescent="0.2">
      <c r="A204" s="33">
        <v>2024</v>
      </c>
      <c r="B204" s="34" t="s">
        <v>110</v>
      </c>
      <c r="C204" s="34" t="s">
        <v>90</v>
      </c>
      <c r="D204" s="35">
        <v>3</v>
      </c>
      <c r="E204" s="36">
        <v>31886</v>
      </c>
    </row>
    <row r="205" spans="1:5" hidden="1" x14ac:dyDescent="0.2">
      <c r="A205" s="33">
        <v>2024</v>
      </c>
      <c r="B205" s="34" t="s">
        <v>110</v>
      </c>
      <c r="C205" s="34" t="s">
        <v>90</v>
      </c>
      <c r="D205" s="35">
        <v>4</v>
      </c>
      <c r="E205" s="36">
        <v>29048</v>
      </c>
    </row>
    <row r="206" spans="1:5" hidden="1" x14ac:dyDescent="0.2">
      <c r="A206" s="33">
        <v>2024</v>
      </c>
      <c r="B206" s="34" t="s">
        <v>110</v>
      </c>
      <c r="C206" s="34" t="s">
        <v>90</v>
      </c>
      <c r="D206" s="35">
        <v>5</v>
      </c>
      <c r="E206" s="36">
        <v>27778</v>
      </c>
    </row>
    <row r="207" spans="1:5" hidden="1" x14ac:dyDescent="0.2">
      <c r="A207" s="33">
        <v>2024</v>
      </c>
      <c r="B207" s="34" t="s">
        <v>110</v>
      </c>
      <c r="C207" s="34" t="s">
        <v>90</v>
      </c>
      <c r="D207" s="35">
        <v>6</v>
      </c>
      <c r="E207" s="36">
        <v>25817</v>
      </c>
    </row>
    <row r="208" spans="1:5" hidden="1" x14ac:dyDescent="0.2">
      <c r="A208" s="33">
        <v>2024</v>
      </c>
      <c r="B208" s="34" t="s">
        <v>110</v>
      </c>
      <c r="C208" s="34" t="s">
        <v>90</v>
      </c>
      <c r="D208" s="35">
        <v>7</v>
      </c>
      <c r="E208" s="36">
        <v>25862</v>
      </c>
    </row>
    <row r="209" spans="1:5" hidden="1" x14ac:dyDescent="0.2">
      <c r="A209" s="33">
        <v>2024</v>
      </c>
      <c r="B209" s="34" t="s">
        <v>110</v>
      </c>
      <c r="C209" s="34" t="s">
        <v>90</v>
      </c>
      <c r="D209" s="35">
        <v>8</v>
      </c>
      <c r="E209" s="36">
        <v>24976</v>
      </c>
    </row>
    <row r="210" spans="1:5" hidden="1" x14ac:dyDescent="0.2">
      <c r="A210" s="33">
        <v>2024</v>
      </c>
      <c r="B210" s="34" t="s">
        <v>110</v>
      </c>
      <c r="C210" s="34" t="s">
        <v>90</v>
      </c>
      <c r="D210" s="35">
        <v>9</v>
      </c>
      <c r="E210" s="36">
        <v>23611</v>
      </c>
    </row>
    <row r="211" spans="1:5" hidden="1" x14ac:dyDescent="0.2">
      <c r="A211" s="33">
        <v>2024</v>
      </c>
      <c r="B211" s="34" t="s">
        <v>110</v>
      </c>
      <c r="C211" s="34" t="s">
        <v>90</v>
      </c>
      <c r="D211" s="35">
        <v>10</v>
      </c>
      <c r="E211" s="36">
        <v>20208</v>
      </c>
    </row>
    <row r="212" spans="1:5" hidden="1" x14ac:dyDescent="0.2">
      <c r="A212" s="33">
        <v>2024</v>
      </c>
      <c r="B212" s="34" t="s">
        <v>110</v>
      </c>
      <c r="C212" s="34" t="s">
        <v>91</v>
      </c>
      <c r="D212" s="35">
        <v>1</v>
      </c>
      <c r="E212" s="36">
        <v>162338</v>
      </c>
    </row>
    <row r="213" spans="1:5" hidden="1" x14ac:dyDescent="0.2">
      <c r="A213" s="33">
        <v>2024</v>
      </c>
      <c r="B213" s="34" t="s">
        <v>110</v>
      </c>
      <c r="C213" s="34" t="s">
        <v>91</v>
      </c>
      <c r="D213" s="35">
        <v>2</v>
      </c>
      <c r="E213" s="36">
        <v>141347</v>
      </c>
    </row>
    <row r="214" spans="1:5" hidden="1" x14ac:dyDescent="0.2">
      <c r="A214" s="33">
        <v>2024</v>
      </c>
      <c r="B214" s="34" t="s">
        <v>110</v>
      </c>
      <c r="C214" s="34" t="s">
        <v>91</v>
      </c>
      <c r="D214" s="35">
        <v>3</v>
      </c>
      <c r="E214" s="36">
        <v>133163</v>
      </c>
    </row>
    <row r="215" spans="1:5" hidden="1" x14ac:dyDescent="0.2">
      <c r="A215" s="33">
        <v>2024</v>
      </c>
      <c r="B215" s="34" t="s">
        <v>110</v>
      </c>
      <c r="C215" s="34" t="s">
        <v>91</v>
      </c>
      <c r="D215" s="35">
        <v>4</v>
      </c>
      <c r="E215" s="36">
        <v>122386</v>
      </c>
    </row>
    <row r="216" spans="1:5" hidden="1" x14ac:dyDescent="0.2">
      <c r="A216" s="33">
        <v>2024</v>
      </c>
      <c r="B216" s="34" t="s">
        <v>110</v>
      </c>
      <c r="C216" s="34" t="s">
        <v>91</v>
      </c>
      <c r="D216" s="35">
        <v>5</v>
      </c>
      <c r="E216" s="36">
        <v>118978</v>
      </c>
    </row>
    <row r="217" spans="1:5" hidden="1" x14ac:dyDescent="0.2">
      <c r="A217" s="33">
        <v>2024</v>
      </c>
      <c r="B217" s="34" t="s">
        <v>110</v>
      </c>
      <c r="C217" s="34" t="s">
        <v>91</v>
      </c>
      <c r="D217" s="35">
        <v>6</v>
      </c>
      <c r="E217" s="36">
        <v>112336</v>
      </c>
    </row>
    <row r="218" spans="1:5" hidden="1" x14ac:dyDescent="0.2">
      <c r="A218" s="33">
        <v>2024</v>
      </c>
      <c r="B218" s="34" t="s">
        <v>110</v>
      </c>
      <c r="C218" s="34" t="s">
        <v>91</v>
      </c>
      <c r="D218" s="35">
        <v>7</v>
      </c>
      <c r="E218" s="36">
        <v>113919</v>
      </c>
    </row>
    <row r="219" spans="1:5" hidden="1" x14ac:dyDescent="0.2">
      <c r="A219" s="33">
        <v>2024</v>
      </c>
      <c r="B219" s="34" t="s">
        <v>110</v>
      </c>
      <c r="C219" s="34" t="s">
        <v>91</v>
      </c>
      <c r="D219" s="35">
        <v>8</v>
      </c>
      <c r="E219" s="36">
        <v>111606</v>
      </c>
    </row>
    <row r="220" spans="1:5" hidden="1" x14ac:dyDescent="0.2">
      <c r="A220" s="33">
        <v>2024</v>
      </c>
      <c r="B220" s="34" t="s">
        <v>110</v>
      </c>
      <c r="C220" s="34" t="s">
        <v>91</v>
      </c>
      <c r="D220" s="35">
        <v>9</v>
      </c>
      <c r="E220" s="36">
        <v>107231</v>
      </c>
    </row>
    <row r="221" spans="1:5" hidden="1" x14ac:dyDescent="0.2">
      <c r="A221" s="33">
        <v>2024</v>
      </c>
      <c r="B221" s="34" t="s">
        <v>110</v>
      </c>
      <c r="C221" s="34" t="s">
        <v>91</v>
      </c>
      <c r="D221" s="35">
        <v>10</v>
      </c>
      <c r="E221" s="36">
        <v>96710</v>
      </c>
    </row>
    <row r="222" spans="1:5" hidden="1" x14ac:dyDescent="0.2">
      <c r="A222" s="33">
        <v>2024</v>
      </c>
      <c r="B222" s="34" t="s">
        <v>110</v>
      </c>
      <c r="C222" s="34" t="s">
        <v>92</v>
      </c>
      <c r="D222" s="35">
        <v>1</v>
      </c>
      <c r="E222" s="36">
        <v>215696</v>
      </c>
    </row>
    <row r="223" spans="1:5" hidden="1" x14ac:dyDescent="0.2">
      <c r="A223" s="33">
        <v>2024</v>
      </c>
      <c r="B223" s="34" t="s">
        <v>110</v>
      </c>
      <c r="C223" s="34" t="s">
        <v>92</v>
      </c>
      <c r="D223" s="35">
        <v>2</v>
      </c>
      <c r="E223" s="36">
        <v>188813</v>
      </c>
    </row>
    <row r="224" spans="1:5" hidden="1" x14ac:dyDescent="0.2">
      <c r="A224" s="33">
        <v>2024</v>
      </c>
      <c r="B224" s="34" t="s">
        <v>110</v>
      </c>
      <c r="C224" s="34" t="s">
        <v>92</v>
      </c>
      <c r="D224" s="35">
        <v>3</v>
      </c>
      <c r="E224" s="36">
        <v>174781</v>
      </c>
    </row>
    <row r="225" spans="1:5" hidden="1" x14ac:dyDescent="0.2">
      <c r="A225" s="33">
        <v>2024</v>
      </c>
      <c r="B225" s="34" t="s">
        <v>110</v>
      </c>
      <c r="C225" s="34" t="s">
        <v>92</v>
      </c>
      <c r="D225" s="35">
        <v>4</v>
      </c>
      <c r="E225" s="36">
        <v>160924</v>
      </c>
    </row>
    <row r="226" spans="1:5" hidden="1" x14ac:dyDescent="0.2">
      <c r="A226" s="33">
        <v>2024</v>
      </c>
      <c r="B226" s="34" t="s">
        <v>110</v>
      </c>
      <c r="C226" s="34" t="s">
        <v>92</v>
      </c>
      <c r="D226" s="35">
        <v>5</v>
      </c>
      <c r="E226" s="36">
        <v>157594</v>
      </c>
    </row>
    <row r="227" spans="1:5" hidden="1" x14ac:dyDescent="0.2">
      <c r="A227" s="33">
        <v>2024</v>
      </c>
      <c r="B227" s="34" t="s">
        <v>110</v>
      </c>
      <c r="C227" s="34" t="s">
        <v>92</v>
      </c>
      <c r="D227" s="35">
        <v>6</v>
      </c>
      <c r="E227" s="36">
        <v>151481</v>
      </c>
    </row>
    <row r="228" spans="1:5" hidden="1" x14ac:dyDescent="0.2">
      <c r="A228" s="33">
        <v>2024</v>
      </c>
      <c r="B228" s="34" t="s">
        <v>110</v>
      </c>
      <c r="C228" s="34" t="s">
        <v>92</v>
      </c>
      <c r="D228" s="35">
        <v>7</v>
      </c>
      <c r="E228" s="36">
        <v>154708</v>
      </c>
    </row>
    <row r="229" spans="1:5" hidden="1" x14ac:dyDescent="0.2">
      <c r="A229" s="33">
        <v>2024</v>
      </c>
      <c r="B229" s="34" t="s">
        <v>110</v>
      </c>
      <c r="C229" s="34" t="s">
        <v>92</v>
      </c>
      <c r="D229" s="35">
        <v>8</v>
      </c>
      <c r="E229" s="36">
        <v>154211</v>
      </c>
    </row>
    <row r="230" spans="1:5" hidden="1" x14ac:dyDescent="0.2">
      <c r="A230" s="33">
        <v>2024</v>
      </c>
      <c r="B230" s="34" t="s">
        <v>110</v>
      </c>
      <c r="C230" s="34" t="s">
        <v>92</v>
      </c>
      <c r="D230" s="35">
        <v>9</v>
      </c>
      <c r="E230" s="36">
        <v>152159</v>
      </c>
    </row>
    <row r="231" spans="1:5" hidden="1" x14ac:dyDescent="0.2">
      <c r="A231" s="33">
        <v>2024</v>
      </c>
      <c r="B231" s="34" t="s">
        <v>110</v>
      </c>
      <c r="C231" s="34" t="s">
        <v>92</v>
      </c>
      <c r="D231" s="35">
        <v>10</v>
      </c>
      <c r="E231" s="36">
        <v>150329</v>
      </c>
    </row>
    <row r="232" spans="1:5" hidden="1" x14ac:dyDescent="0.2">
      <c r="A232" s="33">
        <v>2024</v>
      </c>
      <c r="B232" s="34" t="s">
        <v>110</v>
      </c>
      <c r="C232" s="34" t="s">
        <v>93</v>
      </c>
      <c r="D232" s="35">
        <v>1</v>
      </c>
      <c r="E232" s="36">
        <v>221523</v>
      </c>
    </row>
    <row r="233" spans="1:5" hidden="1" x14ac:dyDescent="0.2">
      <c r="A233" s="33">
        <v>2024</v>
      </c>
      <c r="B233" s="34" t="s">
        <v>110</v>
      </c>
      <c r="C233" s="34" t="s">
        <v>93</v>
      </c>
      <c r="D233" s="35">
        <v>2</v>
      </c>
      <c r="E233" s="36">
        <v>195649</v>
      </c>
    </row>
    <row r="234" spans="1:5" hidden="1" x14ac:dyDescent="0.2">
      <c r="A234" s="33">
        <v>2024</v>
      </c>
      <c r="B234" s="34" t="s">
        <v>110</v>
      </c>
      <c r="C234" s="34" t="s">
        <v>93</v>
      </c>
      <c r="D234" s="35">
        <v>3</v>
      </c>
      <c r="E234" s="36">
        <v>180138</v>
      </c>
    </row>
    <row r="235" spans="1:5" hidden="1" x14ac:dyDescent="0.2">
      <c r="A235" s="33">
        <v>2024</v>
      </c>
      <c r="B235" s="34" t="s">
        <v>110</v>
      </c>
      <c r="C235" s="34" t="s">
        <v>93</v>
      </c>
      <c r="D235" s="35">
        <v>4</v>
      </c>
      <c r="E235" s="36">
        <v>167286</v>
      </c>
    </row>
    <row r="236" spans="1:5" hidden="1" x14ac:dyDescent="0.2">
      <c r="A236" s="33">
        <v>2024</v>
      </c>
      <c r="B236" s="34" t="s">
        <v>110</v>
      </c>
      <c r="C236" s="34" t="s">
        <v>93</v>
      </c>
      <c r="D236" s="35">
        <v>5</v>
      </c>
      <c r="E236" s="36">
        <v>164523</v>
      </c>
    </row>
    <row r="237" spans="1:5" hidden="1" x14ac:dyDescent="0.2">
      <c r="A237" s="33">
        <v>2024</v>
      </c>
      <c r="B237" s="34" t="s">
        <v>110</v>
      </c>
      <c r="C237" s="34" t="s">
        <v>93</v>
      </c>
      <c r="D237" s="35">
        <v>6</v>
      </c>
      <c r="E237" s="36">
        <v>159704</v>
      </c>
    </row>
    <row r="238" spans="1:5" hidden="1" x14ac:dyDescent="0.2">
      <c r="A238" s="33">
        <v>2024</v>
      </c>
      <c r="B238" s="34" t="s">
        <v>110</v>
      </c>
      <c r="C238" s="34" t="s">
        <v>93</v>
      </c>
      <c r="D238" s="35">
        <v>7</v>
      </c>
      <c r="E238" s="36">
        <v>162578</v>
      </c>
    </row>
    <row r="239" spans="1:5" hidden="1" x14ac:dyDescent="0.2">
      <c r="A239" s="33">
        <v>2024</v>
      </c>
      <c r="B239" s="34" t="s">
        <v>110</v>
      </c>
      <c r="C239" s="34" t="s">
        <v>93</v>
      </c>
      <c r="D239" s="35">
        <v>8</v>
      </c>
      <c r="E239" s="36">
        <v>163143</v>
      </c>
    </row>
    <row r="240" spans="1:5" hidden="1" x14ac:dyDescent="0.2">
      <c r="A240" s="33">
        <v>2024</v>
      </c>
      <c r="B240" s="34" t="s">
        <v>110</v>
      </c>
      <c r="C240" s="34" t="s">
        <v>93</v>
      </c>
      <c r="D240" s="35">
        <v>9</v>
      </c>
      <c r="E240" s="36">
        <v>163456</v>
      </c>
    </row>
    <row r="241" spans="1:5" hidden="1" x14ac:dyDescent="0.2">
      <c r="A241" s="33">
        <v>2024</v>
      </c>
      <c r="B241" s="34" t="s">
        <v>110</v>
      </c>
      <c r="C241" s="34" t="s">
        <v>93</v>
      </c>
      <c r="D241" s="35">
        <v>10</v>
      </c>
      <c r="E241" s="36">
        <v>169702</v>
      </c>
    </row>
    <row r="242" spans="1:5" x14ac:dyDescent="0.2">
      <c r="A242" s="33">
        <v>2024</v>
      </c>
      <c r="B242" s="34" t="s">
        <v>89</v>
      </c>
      <c r="C242" s="34" t="s">
        <v>102</v>
      </c>
      <c r="D242" s="35">
        <v>1</v>
      </c>
      <c r="E242" s="36">
        <v>167173</v>
      </c>
    </row>
    <row r="243" spans="1:5" hidden="1" x14ac:dyDescent="0.2">
      <c r="A243" s="33">
        <v>2024</v>
      </c>
      <c r="B243" s="34" t="s">
        <v>110</v>
      </c>
      <c r="C243" s="34" t="s">
        <v>94</v>
      </c>
      <c r="D243" s="35">
        <v>2</v>
      </c>
      <c r="E243" s="36">
        <v>187710</v>
      </c>
    </row>
    <row r="244" spans="1:5" hidden="1" x14ac:dyDescent="0.2">
      <c r="A244" s="33">
        <v>2024</v>
      </c>
      <c r="B244" s="34" t="s">
        <v>110</v>
      </c>
      <c r="C244" s="34" t="s">
        <v>94</v>
      </c>
      <c r="D244" s="35">
        <v>3</v>
      </c>
      <c r="E244" s="36">
        <v>180317</v>
      </c>
    </row>
    <row r="245" spans="1:5" hidden="1" x14ac:dyDescent="0.2">
      <c r="A245" s="33">
        <v>2024</v>
      </c>
      <c r="B245" s="34" t="s">
        <v>110</v>
      </c>
      <c r="C245" s="34" t="s">
        <v>94</v>
      </c>
      <c r="D245" s="35">
        <v>4</v>
      </c>
      <c r="E245" s="36">
        <v>164007</v>
      </c>
    </row>
    <row r="246" spans="1:5" hidden="1" x14ac:dyDescent="0.2">
      <c r="A246" s="33">
        <v>2024</v>
      </c>
      <c r="B246" s="34" t="s">
        <v>110</v>
      </c>
      <c r="C246" s="34" t="s">
        <v>94</v>
      </c>
      <c r="D246" s="35">
        <v>5</v>
      </c>
      <c r="E246" s="36">
        <v>164453</v>
      </c>
    </row>
    <row r="247" spans="1:5" hidden="1" x14ac:dyDescent="0.2">
      <c r="A247" s="33">
        <v>2024</v>
      </c>
      <c r="B247" s="34" t="s">
        <v>110</v>
      </c>
      <c r="C247" s="34" t="s">
        <v>94</v>
      </c>
      <c r="D247" s="35">
        <v>6</v>
      </c>
      <c r="E247" s="36">
        <v>155704</v>
      </c>
    </row>
    <row r="248" spans="1:5" hidden="1" x14ac:dyDescent="0.2">
      <c r="A248" s="33">
        <v>2024</v>
      </c>
      <c r="B248" s="34" t="s">
        <v>110</v>
      </c>
      <c r="C248" s="34" t="s">
        <v>94</v>
      </c>
      <c r="D248" s="35">
        <v>7</v>
      </c>
      <c r="E248" s="36">
        <v>157290</v>
      </c>
    </row>
    <row r="249" spans="1:5" hidden="1" x14ac:dyDescent="0.2">
      <c r="A249" s="33">
        <v>2024</v>
      </c>
      <c r="B249" s="34" t="s">
        <v>110</v>
      </c>
      <c r="C249" s="34" t="s">
        <v>94</v>
      </c>
      <c r="D249" s="35">
        <v>8</v>
      </c>
      <c r="E249" s="36">
        <v>155410</v>
      </c>
    </row>
    <row r="250" spans="1:5" hidden="1" x14ac:dyDescent="0.2">
      <c r="A250" s="33">
        <v>2024</v>
      </c>
      <c r="B250" s="34" t="s">
        <v>110</v>
      </c>
      <c r="C250" s="34" t="s">
        <v>94</v>
      </c>
      <c r="D250" s="35">
        <v>9</v>
      </c>
      <c r="E250" s="36">
        <v>159209</v>
      </c>
    </row>
    <row r="251" spans="1:5" hidden="1" x14ac:dyDescent="0.2">
      <c r="A251" s="33">
        <v>2024</v>
      </c>
      <c r="B251" s="34" t="s">
        <v>110</v>
      </c>
      <c r="C251" s="34" t="s">
        <v>94</v>
      </c>
      <c r="D251" s="35">
        <v>10</v>
      </c>
      <c r="E251" s="36">
        <v>169570</v>
      </c>
    </row>
    <row r="252" spans="1:5" x14ac:dyDescent="0.2">
      <c r="A252" s="33">
        <v>2024</v>
      </c>
      <c r="B252" s="34" t="s">
        <v>110</v>
      </c>
      <c r="C252" s="34" t="s">
        <v>102</v>
      </c>
      <c r="D252" s="35">
        <v>1</v>
      </c>
      <c r="E252" s="36">
        <v>169233</v>
      </c>
    </row>
    <row r="253" spans="1:5" hidden="1" x14ac:dyDescent="0.2">
      <c r="A253" s="33">
        <v>2024</v>
      </c>
      <c r="B253" s="34" t="s">
        <v>110</v>
      </c>
      <c r="C253" s="34" t="s">
        <v>95</v>
      </c>
      <c r="D253" s="35">
        <v>2</v>
      </c>
      <c r="E253" s="36">
        <v>202851</v>
      </c>
    </row>
    <row r="254" spans="1:5" hidden="1" x14ac:dyDescent="0.2">
      <c r="A254" s="33">
        <v>2024</v>
      </c>
      <c r="B254" s="34" t="s">
        <v>110</v>
      </c>
      <c r="C254" s="34" t="s">
        <v>95</v>
      </c>
      <c r="D254" s="35">
        <v>3</v>
      </c>
      <c r="E254" s="36">
        <v>208265</v>
      </c>
    </row>
    <row r="255" spans="1:5" hidden="1" x14ac:dyDescent="0.2">
      <c r="A255" s="33">
        <v>2024</v>
      </c>
      <c r="B255" s="34" t="s">
        <v>110</v>
      </c>
      <c r="C255" s="34" t="s">
        <v>95</v>
      </c>
      <c r="D255" s="35">
        <v>4</v>
      </c>
      <c r="E255" s="36">
        <v>193271</v>
      </c>
    </row>
    <row r="256" spans="1:5" hidden="1" x14ac:dyDescent="0.2">
      <c r="A256" s="33">
        <v>2024</v>
      </c>
      <c r="B256" s="34" t="s">
        <v>110</v>
      </c>
      <c r="C256" s="34" t="s">
        <v>95</v>
      </c>
      <c r="D256" s="35">
        <v>5</v>
      </c>
      <c r="E256" s="36">
        <v>181169</v>
      </c>
    </row>
    <row r="257" spans="1:5" hidden="1" x14ac:dyDescent="0.2">
      <c r="A257" s="33">
        <v>2024</v>
      </c>
      <c r="B257" s="34" t="s">
        <v>110</v>
      </c>
      <c r="C257" s="34" t="s">
        <v>95</v>
      </c>
      <c r="D257" s="35">
        <v>6</v>
      </c>
      <c r="E257" s="36">
        <v>164490</v>
      </c>
    </row>
    <row r="258" spans="1:5" hidden="1" x14ac:dyDescent="0.2">
      <c r="A258" s="33">
        <v>2024</v>
      </c>
      <c r="B258" s="34" t="s">
        <v>110</v>
      </c>
      <c r="C258" s="34" t="s">
        <v>95</v>
      </c>
      <c r="D258" s="35">
        <v>7</v>
      </c>
      <c r="E258" s="36">
        <v>161369</v>
      </c>
    </row>
    <row r="259" spans="1:5" hidden="1" x14ac:dyDescent="0.2">
      <c r="A259" s="33">
        <v>2024</v>
      </c>
      <c r="B259" s="34" t="s">
        <v>110</v>
      </c>
      <c r="C259" s="34" t="s">
        <v>95</v>
      </c>
      <c r="D259" s="35">
        <v>8</v>
      </c>
      <c r="E259" s="36">
        <v>143421</v>
      </c>
    </row>
    <row r="260" spans="1:5" hidden="1" x14ac:dyDescent="0.2">
      <c r="A260" s="33">
        <v>2024</v>
      </c>
      <c r="B260" s="34" t="s">
        <v>110</v>
      </c>
      <c r="C260" s="34" t="s">
        <v>95</v>
      </c>
      <c r="D260" s="35">
        <v>9</v>
      </c>
      <c r="E260" s="36">
        <v>137838</v>
      </c>
    </row>
    <row r="261" spans="1:5" hidden="1" x14ac:dyDescent="0.2">
      <c r="A261" s="33">
        <v>2024</v>
      </c>
      <c r="B261" s="34" t="s">
        <v>110</v>
      </c>
      <c r="C261" s="34" t="s">
        <v>95</v>
      </c>
      <c r="D261" s="35">
        <v>10</v>
      </c>
      <c r="E261" s="36">
        <v>124569</v>
      </c>
    </row>
    <row r="262" spans="1:5" x14ac:dyDescent="0.2">
      <c r="A262" s="33">
        <v>2024</v>
      </c>
      <c r="B262" s="34" t="s">
        <v>89</v>
      </c>
      <c r="C262" s="34" t="s">
        <v>103</v>
      </c>
      <c r="D262" s="35">
        <v>1</v>
      </c>
      <c r="E262" s="36">
        <v>146972</v>
      </c>
    </row>
    <row r="263" spans="1:5" hidden="1" x14ac:dyDescent="0.2">
      <c r="A263" s="33">
        <v>2024</v>
      </c>
      <c r="B263" s="34" t="s">
        <v>110</v>
      </c>
      <c r="C263" s="34" t="s">
        <v>96</v>
      </c>
      <c r="D263" s="35">
        <v>2</v>
      </c>
      <c r="E263" s="36">
        <v>231695</v>
      </c>
    </row>
    <row r="264" spans="1:5" hidden="1" x14ac:dyDescent="0.2">
      <c r="A264" s="33">
        <v>2024</v>
      </c>
      <c r="B264" s="34" t="s">
        <v>110</v>
      </c>
      <c r="C264" s="34" t="s">
        <v>96</v>
      </c>
      <c r="D264" s="35">
        <v>3</v>
      </c>
      <c r="E264" s="36">
        <v>240520</v>
      </c>
    </row>
    <row r="265" spans="1:5" hidden="1" x14ac:dyDescent="0.2">
      <c r="A265" s="33">
        <v>2024</v>
      </c>
      <c r="B265" s="34" t="s">
        <v>110</v>
      </c>
      <c r="C265" s="34" t="s">
        <v>96</v>
      </c>
      <c r="D265" s="35">
        <v>4</v>
      </c>
      <c r="E265" s="36">
        <v>223719</v>
      </c>
    </row>
    <row r="266" spans="1:5" hidden="1" x14ac:dyDescent="0.2">
      <c r="A266" s="33">
        <v>2024</v>
      </c>
      <c r="B266" s="34" t="s">
        <v>110</v>
      </c>
      <c r="C266" s="34" t="s">
        <v>96</v>
      </c>
      <c r="D266" s="35">
        <v>5</v>
      </c>
      <c r="E266" s="36">
        <v>209845</v>
      </c>
    </row>
    <row r="267" spans="1:5" hidden="1" x14ac:dyDescent="0.2">
      <c r="A267" s="33">
        <v>2024</v>
      </c>
      <c r="B267" s="34" t="s">
        <v>110</v>
      </c>
      <c r="C267" s="34" t="s">
        <v>96</v>
      </c>
      <c r="D267" s="35">
        <v>6</v>
      </c>
      <c r="E267" s="36">
        <v>188952</v>
      </c>
    </row>
    <row r="268" spans="1:5" hidden="1" x14ac:dyDescent="0.2">
      <c r="A268" s="33">
        <v>2024</v>
      </c>
      <c r="B268" s="34" t="s">
        <v>110</v>
      </c>
      <c r="C268" s="34" t="s">
        <v>96</v>
      </c>
      <c r="D268" s="35">
        <v>7</v>
      </c>
      <c r="E268" s="36">
        <v>185934</v>
      </c>
    </row>
    <row r="269" spans="1:5" hidden="1" x14ac:dyDescent="0.2">
      <c r="A269" s="33">
        <v>2024</v>
      </c>
      <c r="B269" s="34" t="s">
        <v>110</v>
      </c>
      <c r="C269" s="34" t="s">
        <v>96</v>
      </c>
      <c r="D269" s="35">
        <v>8</v>
      </c>
      <c r="E269" s="36">
        <v>171750</v>
      </c>
    </row>
    <row r="270" spans="1:5" hidden="1" x14ac:dyDescent="0.2">
      <c r="A270" s="33">
        <v>2024</v>
      </c>
      <c r="B270" s="34" t="s">
        <v>110</v>
      </c>
      <c r="C270" s="34" t="s">
        <v>96</v>
      </c>
      <c r="D270" s="35">
        <v>9</v>
      </c>
      <c r="E270" s="36">
        <v>158471</v>
      </c>
    </row>
    <row r="271" spans="1:5" hidden="1" x14ac:dyDescent="0.2">
      <c r="A271" s="33">
        <v>2024</v>
      </c>
      <c r="B271" s="34" t="s">
        <v>110</v>
      </c>
      <c r="C271" s="34" t="s">
        <v>96</v>
      </c>
      <c r="D271" s="35">
        <v>10</v>
      </c>
      <c r="E271" s="36">
        <v>121725</v>
      </c>
    </row>
    <row r="272" spans="1:5" x14ac:dyDescent="0.2">
      <c r="A272" s="33">
        <v>2024</v>
      </c>
      <c r="B272" s="34" t="s">
        <v>110</v>
      </c>
      <c r="C272" s="34" t="s">
        <v>103</v>
      </c>
      <c r="D272" s="35">
        <v>1</v>
      </c>
      <c r="E272" s="36">
        <v>148924</v>
      </c>
    </row>
    <row r="273" spans="1:5" hidden="1" x14ac:dyDescent="0.2">
      <c r="A273" s="33">
        <v>2024</v>
      </c>
      <c r="B273" s="34" t="s">
        <v>110</v>
      </c>
      <c r="C273" s="34" t="s">
        <v>97</v>
      </c>
      <c r="D273" s="35">
        <v>2</v>
      </c>
      <c r="E273" s="36">
        <v>242329</v>
      </c>
    </row>
    <row r="274" spans="1:5" hidden="1" x14ac:dyDescent="0.2">
      <c r="A274" s="33">
        <v>2024</v>
      </c>
      <c r="B274" s="34" t="s">
        <v>110</v>
      </c>
      <c r="C274" s="34" t="s">
        <v>97</v>
      </c>
      <c r="D274" s="35">
        <v>3</v>
      </c>
      <c r="E274" s="36">
        <v>246651</v>
      </c>
    </row>
    <row r="275" spans="1:5" hidden="1" x14ac:dyDescent="0.2">
      <c r="A275" s="33">
        <v>2024</v>
      </c>
      <c r="B275" s="34" t="s">
        <v>110</v>
      </c>
      <c r="C275" s="34" t="s">
        <v>97</v>
      </c>
      <c r="D275" s="35">
        <v>4</v>
      </c>
      <c r="E275" s="36">
        <v>232369</v>
      </c>
    </row>
    <row r="276" spans="1:5" hidden="1" x14ac:dyDescent="0.2">
      <c r="A276" s="33">
        <v>2024</v>
      </c>
      <c r="B276" s="34" t="s">
        <v>110</v>
      </c>
      <c r="C276" s="34" t="s">
        <v>97</v>
      </c>
      <c r="D276" s="35">
        <v>5</v>
      </c>
      <c r="E276" s="36">
        <v>223278</v>
      </c>
    </row>
    <row r="277" spans="1:5" hidden="1" x14ac:dyDescent="0.2">
      <c r="A277" s="33">
        <v>2024</v>
      </c>
      <c r="B277" s="34" t="s">
        <v>110</v>
      </c>
      <c r="C277" s="34" t="s">
        <v>97</v>
      </c>
      <c r="D277" s="35">
        <v>6</v>
      </c>
      <c r="E277" s="36">
        <v>206202</v>
      </c>
    </row>
    <row r="278" spans="1:5" hidden="1" x14ac:dyDescent="0.2">
      <c r="A278" s="33">
        <v>2024</v>
      </c>
      <c r="B278" s="34" t="s">
        <v>110</v>
      </c>
      <c r="C278" s="34" t="s">
        <v>97</v>
      </c>
      <c r="D278" s="35">
        <v>7</v>
      </c>
      <c r="E278" s="36">
        <v>204143</v>
      </c>
    </row>
    <row r="279" spans="1:5" hidden="1" x14ac:dyDescent="0.2">
      <c r="A279" s="33">
        <v>2024</v>
      </c>
      <c r="B279" s="34" t="s">
        <v>110</v>
      </c>
      <c r="C279" s="34" t="s">
        <v>97</v>
      </c>
      <c r="D279" s="35">
        <v>8</v>
      </c>
      <c r="E279" s="36">
        <v>192724</v>
      </c>
    </row>
    <row r="280" spans="1:5" hidden="1" x14ac:dyDescent="0.2">
      <c r="A280" s="33">
        <v>2024</v>
      </c>
      <c r="B280" s="34" t="s">
        <v>110</v>
      </c>
      <c r="C280" s="34" t="s">
        <v>97</v>
      </c>
      <c r="D280" s="35">
        <v>9</v>
      </c>
      <c r="E280" s="36">
        <v>180065</v>
      </c>
    </row>
    <row r="281" spans="1:5" hidden="1" x14ac:dyDescent="0.2">
      <c r="A281" s="33">
        <v>2024</v>
      </c>
      <c r="B281" s="34" t="s">
        <v>110</v>
      </c>
      <c r="C281" s="34" t="s">
        <v>97</v>
      </c>
      <c r="D281" s="35">
        <v>10</v>
      </c>
      <c r="E281" s="36">
        <v>139538</v>
      </c>
    </row>
    <row r="282" spans="1:5" x14ac:dyDescent="0.2">
      <c r="A282" s="33">
        <v>2024</v>
      </c>
      <c r="B282" s="34" t="s">
        <v>89</v>
      </c>
      <c r="C282" s="34" t="s">
        <v>104</v>
      </c>
      <c r="D282" s="35">
        <v>1</v>
      </c>
      <c r="E282" s="36">
        <v>116491</v>
      </c>
    </row>
    <row r="283" spans="1:5" hidden="1" x14ac:dyDescent="0.2">
      <c r="A283" s="33">
        <v>2024</v>
      </c>
      <c r="B283" s="34" t="s">
        <v>110</v>
      </c>
      <c r="C283" s="34" t="s">
        <v>98</v>
      </c>
      <c r="D283" s="35">
        <v>2</v>
      </c>
      <c r="E283" s="36">
        <v>236490</v>
      </c>
    </row>
    <row r="284" spans="1:5" hidden="1" x14ac:dyDescent="0.2">
      <c r="A284" s="33">
        <v>2024</v>
      </c>
      <c r="B284" s="34" t="s">
        <v>110</v>
      </c>
      <c r="C284" s="34" t="s">
        <v>98</v>
      </c>
      <c r="D284" s="35">
        <v>3</v>
      </c>
      <c r="E284" s="36">
        <v>234726</v>
      </c>
    </row>
    <row r="285" spans="1:5" hidden="1" x14ac:dyDescent="0.2">
      <c r="A285" s="33">
        <v>2024</v>
      </c>
      <c r="B285" s="34" t="s">
        <v>110</v>
      </c>
      <c r="C285" s="34" t="s">
        <v>98</v>
      </c>
      <c r="D285" s="35">
        <v>4</v>
      </c>
      <c r="E285" s="36">
        <v>221819</v>
      </c>
    </row>
    <row r="286" spans="1:5" hidden="1" x14ac:dyDescent="0.2">
      <c r="A286" s="33">
        <v>2024</v>
      </c>
      <c r="B286" s="34" t="s">
        <v>110</v>
      </c>
      <c r="C286" s="34" t="s">
        <v>98</v>
      </c>
      <c r="D286" s="35">
        <v>5</v>
      </c>
      <c r="E286" s="36">
        <v>216472</v>
      </c>
    </row>
    <row r="287" spans="1:5" hidden="1" x14ac:dyDescent="0.2">
      <c r="A287" s="33">
        <v>2024</v>
      </c>
      <c r="B287" s="34" t="s">
        <v>110</v>
      </c>
      <c r="C287" s="34" t="s">
        <v>98</v>
      </c>
      <c r="D287" s="35">
        <v>6</v>
      </c>
      <c r="E287" s="36">
        <v>203387</v>
      </c>
    </row>
    <row r="288" spans="1:5" hidden="1" x14ac:dyDescent="0.2">
      <c r="A288" s="33">
        <v>2024</v>
      </c>
      <c r="B288" s="34" t="s">
        <v>110</v>
      </c>
      <c r="C288" s="34" t="s">
        <v>98</v>
      </c>
      <c r="D288" s="35">
        <v>7</v>
      </c>
      <c r="E288" s="36">
        <v>204898</v>
      </c>
    </row>
    <row r="289" spans="1:5" hidden="1" x14ac:dyDescent="0.2">
      <c r="A289" s="33">
        <v>2024</v>
      </c>
      <c r="B289" s="34" t="s">
        <v>110</v>
      </c>
      <c r="C289" s="34" t="s">
        <v>98</v>
      </c>
      <c r="D289" s="35">
        <v>8</v>
      </c>
      <c r="E289" s="36">
        <v>198062</v>
      </c>
    </row>
    <row r="290" spans="1:5" hidden="1" x14ac:dyDescent="0.2">
      <c r="A290" s="33">
        <v>2024</v>
      </c>
      <c r="B290" s="34" t="s">
        <v>110</v>
      </c>
      <c r="C290" s="34" t="s">
        <v>98</v>
      </c>
      <c r="D290" s="35">
        <v>9</v>
      </c>
      <c r="E290" s="36">
        <v>190060</v>
      </c>
    </row>
    <row r="291" spans="1:5" hidden="1" x14ac:dyDescent="0.2">
      <c r="A291" s="33">
        <v>2024</v>
      </c>
      <c r="B291" s="34" t="s">
        <v>110</v>
      </c>
      <c r="C291" s="34" t="s">
        <v>98</v>
      </c>
      <c r="D291" s="35">
        <v>10</v>
      </c>
      <c r="E291" s="36">
        <v>167250</v>
      </c>
    </row>
    <row r="292" spans="1:5" x14ac:dyDescent="0.2">
      <c r="A292" s="33">
        <v>2024</v>
      </c>
      <c r="B292" s="34" t="s">
        <v>110</v>
      </c>
      <c r="C292" s="34" t="s">
        <v>104</v>
      </c>
      <c r="D292" s="35">
        <v>1</v>
      </c>
      <c r="E292" s="36">
        <v>118806</v>
      </c>
    </row>
    <row r="293" spans="1:5" hidden="1" x14ac:dyDescent="0.2">
      <c r="A293" s="33">
        <v>2024</v>
      </c>
      <c r="B293" s="34" t="s">
        <v>110</v>
      </c>
      <c r="C293" s="34" t="s">
        <v>99</v>
      </c>
      <c r="D293" s="35">
        <v>2</v>
      </c>
      <c r="E293" s="36">
        <v>210579</v>
      </c>
    </row>
    <row r="294" spans="1:5" hidden="1" x14ac:dyDescent="0.2">
      <c r="A294" s="33">
        <v>2024</v>
      </c>
      <c r="B294" s="34" t="s">
        <v>110</v>
      </c>
      <c r="C294" s="34" t="s">
        <v>99</v>
      </c>
      <c r="D294" s="35">
        <v>3</v>
      </c>
      <c r="E294" s="36">
        <v>208525</v>
      </c>
    </row>
    <row r="295" spans="1:5" hidden="1" x14ac:dyDescent="0.2">
      <c r="A295" s="33">
        <v>2024</v>
      </c>
      <c r="B295" s="34" t="s">
        <v>110</v>
      </c>
      <c r="C295" s="34" t="s">
        <v>99</v>
      </c>
      <c r="D295" s="35">
        <v>4</v>
      </c>
      <c r="E295" s="36">
        <v>199486</v>
      </c>
    </row>
    <row r="296" spans="1:5" hidden="1" x14ac:dyDescent="0.2">
      <c r="A296" s="33">
        <v>2024</v>
      </c>
      <c r="B296" s="34" t="s">
        <v>110</v>
      </c>
      <c r="C296" s="34" t="s">
        <v>99</v>
      </c>
      <c r="D296" s="35">
        <v>5</v>
      </c>
      <c r="E296" s="36">
        <v>198086</v>
      </c>
    </row>
    <row r="297" spans="1:5" hidden="1" x14ac:dyDescent="0.2">
      <c r="A297" s="33">
        <v>2024</v>
      </c>
      <c r="B297" s="34" t="s">
        <v>110</v>
      </c>
      <c r="C297" s="34" t="s">
        <v>99</v>
      </c>
      <c r="D297" s="35">
        <v>6</v>
      </c>
      <c r="E297" s="36">
        <v>191967</v>
      </c>
    </row>
    <row r="298" spans="1:5" hidden="1" x14ac:dyDescent="0.2">
      <c r="A298" s="33">
        <v>2024</v>
      </c>
      <c r="B298" s="34" t="s">
        <v>110</v>
      </c>
      <c r="C298" s="34" t="s">
        <v>99</v>
      </c>
      <c r="D298" s="35">
        <v>7</v>
      </c>
      <c r="E298" s="36">
        <v>193693</v>
      </c>
    </row>
    <row r="299" spans="1:5" hidden="1" x14ac:dyDescent="0.2">
      <c r="A299" s="33">
        <v>2024</v>
      </c>
      <c r="B299" s="34" t="s">
        <v>110</v>
      </c>
      <c r="C299" s="34" t="s">
        <v>99</v>
      </c>
      <c r="D299" s="35">
        <v>8</v>
      </c>
      <c r="E299" s="36">
        <v>194615</v>
      </c>
    </row>
    <row r="300" spans="1:5" hidden="1" x14ac:dyDescent="0.2">
      <c r="A300" s="33">
        <v>2024</v>
      </c>
      <c r="B300" s="34" t="s">
        <v>110</v>
      </c>
      <c r="C300" s="34" t="s">
        <v>99</v>
      </c>
      <c r="D300" s="35">
        <v>9</v>
      </c>
      <c r="E300" s="36">
        <v>192769</v>
      </c>
    </row>
    <row r="301" spans="1:5" hidden="1" x14ac:dyDescent="0.2">
      <c r="A301" s="33">
        <v>2024</v>
      </c>
      <c r="B301" s="34" t="s">
        <v>110</v>
      </c>
      <c r="C301" s="34" t="s">
        <v>99</v>
      </c>
      <c r="D301" s="35">
        <v>10</v>
      </c>
      <c r="E301" s="36">
        <v>189015</v>
      </c>
    </row>
    <row r="302" spans="1:5" x14ac:dyDescent="0.2">
      <c r="A302" s="33">
        <v>2024</v>
      </c>
      <c r="B302" s="34" t="s">
        <v>89</v>
      </c>
      <c r="C302" s="34" t="s">
        <v>105</v>
      </c>
      <c r="D302" s="35">
        <v>1</v>
      </c>
      <c r="E302" s="36">
        <v>88224</v>
      </c>
    </row>
    <row r="303" spans="1:5" hidden="1" x14ac:dyDescent="0.2">
      <c r="A303" s="33">
        <v>2024</v>
      </c>
      <c r="B303" s="34" t="s">
        <v>110</v>
      </c>
      <c r="C303" s="34" t="s">
        <v>100</v>
      </c>
      <c r="D303" s="35">
        <v>2</v>
      </c>
      <c r="E303" s="36">
        <v>177788</v>
      </c>
    </row>
    <row r="304" spans="1:5" hidden="1" x14ac:dyDescent="0.2">
      <c r="A304" s="33">
        <v>2024</v>
      </c>
      <c r="B304" s="34" t="s">
        <v>110</v>
      </c>
      <c r="C304" s="34" t="s">
        <v>100</v>
      </c>
      <c r="D304" s="35">
        <v>3</v>
      </c>
      <c r="E304" s="36">
        <v>179941</v>
      </c>
    </row>
    <row r="305" spans="1:5" hidden="1" x14ac:dyDescent="0.2">
      <c r="A305" s="33">
        <v>2024</v>
      </c>
      <c r="B305" s="34" t="s">
        <v>110</v>
      </c>
      <c r="C305" s="34" t="s">
        <v>100</v>
      </c>
      <c r="D305" s="35">
        <v>4</v>
      </c>
      <c r="E305" s="36">
        <v>175232</v>
      </c>
    </row>
    <row r="306" spans="1:5" hidden="1" x14ac:dyDescent="0.2">
      <c r="A306" s="33">
        <v>2024</v>
      </c>
      <c r="B306" s="34" t="s">
        <v>110</v>
      </c>
      <c r="C306" s="34" t="s">
        <v>100</v>
      </c>
      <c r="D306" s="35">
        <v>5</v>
      </c>
      <c r="E306" s="36">
        <v>175039</v>
      </c>
    </row>
    <row r="307" spans="1:5" hidden="1" x14ac:dyDescent="0.2">
      <c r="A307" s="33">
        <v>2024</v>
      </c>
      <c r="B307" s="34" t="s">
        <v>110</v>
      </c>
      <c r="C307" s="34" t="s">
        <v>100</v>
      </c>
      <c r="D307" s="35">
        <v>6</v>
      </c>
      <c r="E307" s="36">
        <v>172298</v>
      </c>
    </row>
    <row r="308" spans="1:5" hidden="1" x14ac:dyDescent="0.2">
      <c r="A308" s="33">
        <v>2024</v>
      </c>
      <c r="B308" s="34" t="s">
        <v>110</v>
      </c>
      <c r="C308" s="34" t="s">
        <v>100</v>
      </c>
      <c r="D308" s="35">
        <v>7</v>
      </c>
      <c r="E308" s="36">
        <v>177545</v>
      </c>
    </row>
    <row r="309" spans="1:5" hidden="1" x14ac:dyDescent="0.2">
      <c r="A309" s="33">
        <v>2024</v>
      </c>
      <c r="B309" s="34" t="s">
        <v>110</v>
      </c>
      <c r="C309" s="34" t="s">
        <v>100</v>
      </c>
      <c r="D309" s="35">
        <v>8</v>
      </c>
      <c r="E309" s="36">
        <v>178096</v>
      </c>
    </row>
    <row r="310" spans="1:5" hidden="1" x14ac:dyDescent="0.2">
      <c r="A310" s="33">
        <v>2024</v>
      </c>
      <c r="B310" s="34" t="s">
        <v>110</v>
      </c>
      <c r="C310" s="34" t="s">
        <v>100</v>
      </c>
      <c r="D310" s="35">
        <v>9</v>
      </c>
      <c r="E310" s="36">
        <v>180575</v>
      </c>
    </row>
    <row r="311" spans="1:5" hidden="1" x14ac:dyDescent="0.2">
      <c r="A311" s="33">
        <v>2024</v>
      </c>
      <c r="B311" s="34" t="s">
        <v>110</v>
      </c>
      <c r="C311" s="34" t="s">
        <v>100</v>
      </c>
      <c r="D311" s="35">
        <v>10</v>
      </c>
      <c r="E311" s="36">
        <v>185776</v>
      </c>
    </row>
    <row r="312" spans="1:5" x14ac:dyDescent="0.2">
      <c r="A312" s="33">
        <v>2024</v>
      </c>
      <c r="B312" s="34" t="s">
        <v>110</v>
      </c>
      <c r="C312" s="34" t="s">
        <v>105</v>
      </c>
      <c r="D312" s="35">
        <v>1</v>
      </c>
      <c r="E312" s="36">
        <v>93690</v>
      </c>
    </row>
    <row r="313" spans="1:5" hidden="1" x14ac:dyDescent="0.2">
      <c r="A313" s="33">
        <v>2024</v>
      </c>
      <c r="B313" s="34" t="s">
        <v>110</v>
      </c>
      <c r="C313" s="34" t="s">
        <v>101</v>
      </c>
      <c r="D313" s="35">
        <v>2</v>
      </c>
      <c r="E313" s="36">
        <v>182440</v>
      </c>
    </row>
    <row r="314" spans="1:5" hidden="1" x14ac:dyDescent="0.2">
      <c r="A314" s="33">
        <v>2024</v>
      </c>
      <c r="B314" s="34" t="s">
        <v>110</v>
      </c>
      <c r="C314" s="34" t="s">
        <v>101</v>
      </c>
      <c r="D314" s="35">
        <v>3</v>
      </c>
      <c r="E314" s="36">
        <v>187039</v>
      </c>
    </row>
    <row r="315" spans="1:5" hidden="1" x14ac:dyDescent="0.2">
      <c r="A315" s="33">
        <v>2024</v>
      </c>
      <c r="B315" s="34" t="s">
        <v>110</v>
      </c>
      <c r="C315" s="34" t="s">
        <v>101</v>
      </c>
      <c r="D315" s="35">
        <v>4</v>
      </c>
      <c r="E315" s="36">
        <v>187742</v>
      </c>
    </row>
    <row r="316" spans="1:5" hidden="1" x14ac:dyDescent="0.2">
      <c r="A316" s="33">
        <v>2024</v>
      </c>
      <c r="B316" s="34" t="s">
        <v>110</v>
      </c>
      <c r="C316" s="34" t="s">
        <v>101</v>
      </c>
      <c r="D316" s="35">
        <v>5</v>
      </c>
      <c r="E316" s="36">
        <v>189286</v>
      </c>
    </row>
    <row r="317" spans="1:5" hidden="1" x14ac:dyDescent="0.2">
      <c r="A317" s="33">
        <v>2024</v>
      </c>
      <c r="B317" s="34" t="s">
        <v>110</v>
      </c>
      <c r="C317" s="34" t="s">
        <v>101</v>
      </c>
      <c r="D317" s="35">
        <v>6</v>
      </c>
      <c r="E317" s="36">
        <v>191657</v>
      </c>
    </row>
    <row r="318" spans="1:5" hidden="1" x14ac:dyDescent="0.2">
      <c r="A318" s="33">
        <v>2024</v>
      </c>
      <c r="B318" s="34" t="s">
        <v>110</v>
      </c>
      <c r="C318" s="34" t="s">
        <v>101</v>
      </c>
      <c r="D318" s="35">
        <v>7</v>
      </c>
      <c r="E318" s="36">
        <v>195253</v>
      </c>
    </row>
    <row r="319" spans="1:5" hidden="1" x14ac:dyDescent="0.2">
      <c r="A319" s="33">
        <v>2024</v>
      </c>
      <c r="B319" s="34" t="s">
        <v>110</v>
      </c>
      <c r="C319" s="34" t="s">
        <v>101</v>
      </c>
      <c r="D319" s="35">
        <v>8</v>
      </c>
      <c r="E319" s="36">
        <v>196382</v>
      </c>
    </row>
    <row r="320" spans="1:5" hidden="1" x14ac:dyDescent="0.2">
      <c r="A320" s="33">
        <v>2024</v>
      </c>
      <c r="B320" s="34" t="s">
        <v>110</v>
      </c>
      <c r="C320" s="34" t="s">
        <v>101</v>
      </c>
      <c r="D320" s="35">
        <v>9</v>
      </c>
      <c r="E320" s="36">
        <v>195849</v>
      </c>
    </row>
    <row r="321" spans="1:5" hidden="1" x14ac:dyDescent="0.2">
      <c r="A321" s="33">
        <v>2024</v>
      </c>
      <c r="B321" s="34" t="s">
        <v>110</v>
      </c>
      <c r="C321" s="34" t="s">
        <v>101</v>
      </c>
      <c r="D321" s="35">
        <v>10</v>
      </c>
      <c r="E321" s="36">
        <v>199463</v>
      </c>
    </row>
    <row r="322" spans="1:5" x14ac:dyDescent="0.2">
      <c r="A322" s="33">
        <v>2024</v>
      </c>
      <c r="B322" s="34" t="s">
        <v>89</v>
      </c>
      <c r="C322" s="34" t="s">
        <v>106</v>
      </c>
      <c r="D322" s="35">
        <v>1</v>
      </c>
      <c r="E322" s="36">
        <v>66001</v>
      </c>
    </row>
    <row r="323" spans="1:5" hidden="1" x14ac:dyDescent="0.2">
      <c r="A323" s="33">
        <v>2024</v>
      </c>
      <c r="B323" s="34" t="s">
        <v>110</v>
      </c>
      <c r="C323" s="34" t="s">
        <v>102</v>
      </c>
      <c r="D323" s="35">
        <v>2</v>
      </c>
      <c r="E323" s="36">
        <v>183026</v>
      </c>
    </row>
    <row r="324" spans="1:5" hidden="1" x14ac:dyDescent="0.2">
      <c r="A324" s="33">
        <v>2024</v>
      </c>
      <c r="B324" s="34" t="s">
        <v>110</v>
      </c>
      <c r="C324" s="34" t="s">
        <v>102</v>
      </c>
      <c r="D324" s="35">
        <v>3</v>
      </c>
      <c r="E324" s="36">
        <v>190332</v>
      </c>
    </row>
    <row r="325" spans="1:5" hidden="1" x14ac:dyDescent="0.2">
      <c r="A325" s="33">
        <v>2024</v>
      </c>
      <c r="B325" s="34" t="s">
        <v>110</v>
      </c>
      <c r="C325" s="34" t="s">
        <v>102</v>
      </c>
      <c r="D325" s="35">
        <v>4</v>
      </c>
      <c r="E325" s="36">
        <v>197344</v>
      </c>
    </row>
    <row r="326" spans="1:5" hidden="1" x14ac:dyDescent="0.2">
      <c r="A326" s="33">
        <v>2024</v>
      </c>
      <c r="B326" s="34" t="s">
        <v>110</v>
      </c>
      <c r="C326" s="34" t="s">
        <v>102</v>
      </c>
      <c r="D326" s="35">
        <v>5</v>
      </c>
      <c r="E326" s="36">
        <v>202714</v>
      </c>
    </row>
    <row r="327" spans="1:5" hidden="1" x14ac:dyDescent="0.2">
      <c r="A327" s="33">
        <v>2024</v>
      </c>
      <c r="B327" s="34" t="s">
        <v>110</v>
      </c>
      <c r="C327" s="34" t="s">
        <v>102</v>
      </c>
      <c r="D327" s="35">
        <v>6</v>
      </c>
      <c r="E327" s="36">
        <v>206448</v>
      </c>
    </row>
    <row r="328" spans="1:5" hidden="1" x14ac:dyDescent="0.2">
      <c r="A328" s="33">
        <v>2024</v>
      </c>
      <c r="B328" s="34" t="s">
        <v>110</v>
      </c>
      <c r="C328" s="34" t="s">
        <v>102</v>
      </c>
      <c r="D328" s="35">
        <v>7</v>
      </c>
      <c r="E328" s="36">
        <v>208153</v>
      </c>
    </row>
    <row r="329" spans="1:5" hidden="1" x14ac:dyDescent="0.2">
      <c r="A329" s="33">
        <v>2024</v>
      </c>
      <c r="B329" s="34" t="s">
        <v>110</v>
      </c>
      <c r="C329" s="34" t="s">
        <v>102</v>
      </c>
      <c r="D329" s="35">
        <v>8</v>
      </c>
      <c r="E329" s="36">
        <v>206292</v>
      </c>
    </row>
    <row r="330" spans="1:5" hidden="1" x14ac:dyDescent="0.2">
      <c r="A330" s="33">
        <v>2024</v>
      </c>
      <c r="B330" s="34" t="s">
        <v>110</v>
      </c>
      <c r="C330" s="34" t="s">
        <v>102</v>
      </c>
      <c r="D330" s="35">
        <v>9</v>
      </c>
      <c r="E330" s="36">
        <v>204414</v>
      </c>
    </row>
    <row r="331" spans="1:5" hidden="1" x14ac:dyDescent="0.2">
      <c r="A331" s="33">
        <v>2024</v>
      </c>
      <c r="B331" s="34" t="s">
        <v>110</v>
      </c>
      <c r="C331" s="34" t="s">
        <v>102</v>
      </c>
      <c r="D331" s="35">
        <v>10</v>
      </c>
      <c r="E331" s="36">
        <v>203230</v>
      </c>
    </row>
    <row r="332" spans="1:5" x14ac:dyDescent="0.2">
      <c r="A332" s="33">
        <v>2024</v>
      </c>
      <c r="B332" s="34" t="s">
        <v>110</v>
      </c>
      <c r="C332" s="34" t="s">
        <v>106</v>
      </c>
      <c r="D332" s="35">
        <v>1</v>
      </c>
      <c r="E332" s="36">
        <v>77938</v>
      </c>
    </row>
    <row r="333" spans="1:5" hidden="1" x14ac:dyDescent="0.2">
      <c r="A333" s="33">
        <v>2024</v>
      </c>
      <c r="B333" s="34" t="s">
        <v>110</v>
      </c>
      <c r="C333" s="34" t="s">
        <v>103</v>
      </c>
      <c r="D333" s="35">
        <v>2</v>
      </c>
      <c r="E333" s="36">
        <v>161839</v>
      </c>
    </row>
    <row r="334" spans="1:5" hidden="1" x14ac:dyDescent="0.2">
      <c r="A334" s="33">
        <v>2024</v>
      </c>
      <c r="B334" s="34" t="s">
        <v>110</v>
      </c>
      <c r="C334" s="34" t="s">
        <v>103</v>
      </c>
      <c r="D334" s="35">
        <v>3</v>
      </c>
      <c r="E334" s="36">
        <v>169973</v>
      </c>
    </row>
    <row r="335" spans="1:5" hidden="1" x14ac:dyDescent="0.2">
      <c r="A335" s="33">
        <v>2024</v>
      </c>
      <c r="B335" s="34" t="s">
        <v>110</v>
      </c>
      <c r="C335" s="34" t="s">
        <v>103</v>
      </c>
      <c r="D335" s="35">
        <v>4</v>
      </c>
      <c r="E335" s="36">
        <v>181397</v>
      </c>
    </row>
    <row r="336" spans="1:5" hidden="1" x14ac:dyDescent="0.2">
      <c r="A336" s="33">
        <v>2024</v>
      </c>
      <c r="B336" s="34" t="s">
        <v>110</v>
      </c>
      <c r="C336" s="34" t="s">
        <v>103</v>
      </c>
      <c r="D336" s="35">
        <v>5</v>
      </c>
      <c r="E336" s="36">
        <v>188669</v>
      </c>
    </row>
    <row r="337" spans="1:5" hidden="1" x14ac:dyDescent="0.2">
      <c r="A337" s="33">
        <v>2024</v>
      </c>
      <c r="B337" s="34" t="s">
        <v>110</v>
      </c>
      <c r="C337" s="34" t="s">
        <v>103</v>
      </c>
      <c r="D337" s="35">
        <v>6</v>
      </c>
      <c r="E337" s="36">
        <v>194385</v>
      </c>
    </row>
    <row r="338" spans="1:5" hidden="1" x14ac:dyDescent="0.2">
      <c r="A338" s="33">
        <v>2024</v>
      </c>
      <c r="B338" s="34" t="s">
        <v>110</v>
      </c>
      <c r="C338" s="34" t="s">
        <v>103</v>
      </c>
      <c r="D338" s="35">
        <v>7</v>
      </c>
      <c r="E338" s="36">
        <v>196657</v>
      </c>
    </row>
    <row r="339" spans="1:5" hidden="1" x14ac:dyDescent="0.2">
      <c r="A339" s="33">
        <v>2024</v>
      </c>
      <c r="B339" s="34" t="s">
        <v>110</v>
      </c>
      <c r="C339" s="34" t="s">
        <v>103</v>
      </c>
      <c r="D339" s="35">
        <v>8</v>
      </c>
      <c r="E339" s="36">
        <v>193479</v>
      </c>
    </row>
    <row r="340" spans="1:5" hidden="1" x14ac:dyDescent="0.2">
      <c r="A340" s="33">
        <v>2024</v>
      </c>
      <c r="B340" s="34" t="s">
        <v>110</v>
      </c>
      <c r="C340" s="34" t="s">
        <v>103</v>
      </c>
      <c r="D340" s="35">
        <v>9</v>
      </c>
      <c r="E340" s="36">
        <v>193072</v>
      </c>
    </row>
    <row r="341" spans="1:5" hidden="1" x14ac:dyDescent="0.2">
      <c r="A341" s="33">
        <v>2024</v>
      </c>
      <c r="B341" s="34" t="s">
        <v>110</v>
      </c>
      <c r="C341" s="34" t="s">
        <v>103</v>
      </c>
      <c r="D341" s="35">
        <v>10</v>
      </c>
      <c r="E341" s="36">
        <v>192254</v>
      </c>
    </row>
    <row r="342" spans="1:5" x14ac:dyDescent="0.2">
      <c r="A342" s="33">
        <v>2024</v>
      </c>
      <c r="B342" s="34" t="s">
        <v>89</v>
      </c>
      <c r="C342" s="34" t="s">
        <v>107</v>
      </c>
      <c r="D342" s="35">
        <v>1</v>
      </c>
      <c r="E342" s="36">
        <v>35605</v>
      </c>
    </row>
    <row r="343" spans="1:5" hidden="1" x14ac:dyDescent="0.2">
      <c r="A343" s="33">
        <v>2024</v>
      </c>
      <c r="B343" s="34" t="s">
        <v>110</v>
      </c>
      <c r="C343" s="34" t="s">
        <v>104</v>
      </c>
      <c r="D343" s="35">
        <v>2</v>
      </c>
      <c r="E343" s="36">
        <v>128523</v>
      </c>
    </row>
    <row r="344" spans="1:5" hidden="1" x14ac:dyDescent="0.2">
      <c r="A344" s="33">
        <v>2024</v>
      </c>
      <c r="B344" s="34" t="s">
        <v>110</v>
      </c>
      <c r="C344" s="34" t="s">
        <v>104</v>
      </c>
      <c r="D344" s="35">
        <v>3</v>
      </c>
      <c r="E344" s="36">
        <v>137206</v>
      </c>
    </row>
    <row r="345" spans="1:5" hidden="1" x14ac:dyDescent="0.2">
      <c r="A345" s="33">
        <v>2024</v>
      </c>
      <c r="B345" s="34" t="s">
        <v>110</v>
      </c>
      <c r="C345" s="34" t="s">
        <v>104</v>
      </c>
      <c r="D345" s="35">
        <v>4</v>
      </c>
      <c r="E345" s="36">
        <v>148901</v>
      </c>
    </row>
    <row r="346" spans="1:5" hidden="1" x14ac:dyDescent="0.2">
      <c r="A346" s="33">
        <v>2024</v>
      </c>
      <c r="B346" s="34" t="s">
        <v>110</v>
      </c>
      <c r="C346" s="34" t="s">
        <v>104</v>
      </c>
      <c r="D346" s="35">
        <v>5</v>
      </c>
      <c r="E346" s="36">
        <v>157914</v>
      </c>
    </row>
    <row r="347" spans="1:5" hidden="1" x14ac:dyDescent="0.2">
      <c r="A347" s="33">
        <v>2024</v>
      </c>
      <c r="B347" s="34" t="s">
        <v>110</v>
      </c>
      <c r="C347" s="34" t="s">
        <v>104</v>
      </c>
      <c r="D347" s="35">
        <v>6</v>
      </c>
      <c r="E347" s="36">
        <v>163895</v>
      </c>
    </row>
    <row r="348" spans="1:5" hidden="1" x14ac:dyDescent="0.2">
      <c r="A348" s="33">
        <v>2024</v>
      </c>
      <c r="B348" s="34" t="s">
        <v>110</v>
      </c>
      <c r="C348" s="34" t="s">
        <v>104</v>
      </c>
      <c r="D348" s="35">
        <v>7</v>
      </c>
      <c r="E348" s="36">
        <v>166939</v>
      </c>
    </row>
    <row r="349" spans="1:5" hidden="1" x14ac:dyDescent="0.2">
      <c r="A349" s="33">
        <v>2024</v>
      </c>
      <c r="B349" s="34" t="s">
        <v>110</v>
      </c>
      <c r="C349" s="34" t="s">
        <v>104</v>
      </c>
      <c r="D349" s="35">
        <v>8</v>
      </c>
      <c r="E349" s="36">
        <v>165823</v>
      </c>
    </row>
    <row r="350" spans="1:5" hidden="1" x14ac:dyDescent="0.2">
      <c r="A350" s="33">
        <v>2024</v>
      </c>
      <c r="B350" s="34" t="s">
        <v>110</v>
      </c>
      <c r="C350" s="34" t="s">
        <v>104</v>
      </c>
      <c r="D350" s="35">
        <v>9</v>
      </c>
      <c r="E350" s="36">
        <v>164881</v>
      </c>
    </row>
    <row r="351" spans="1:5" hidden="1" x14ac:dyDescent="0.2">
      <c r="A351" s="33">
        <v>2024</v>
      </c>
      <c r="B351" s="34" t="s">
        <v>110</v>
      </c>
      <c r="C351" s="34" t="s">
        <v>104</v>
      </c>
      <c r="D351" s="35">
        <v>10</v>
      </c>
      <c r="E351" s="36">
        <v>164996</v>
      </c>
    </row>
    <row r="352" spans="1:5" x14ac:dyDescent="0.2">
      <c r="A352" s="33">
        <v>2024</v>
      </c>
      <c r="B352" s="34" t="s">
        <v>110</v>
      </c>
      <c r="C352" s="34" t="s">
        <v>107</v>
      </c>
      <c r="D352" s="35">
        <v>1</v>
      </c>
      <c r="E352" s="36">
        <v>49917</v>
      </c>
    </row>
    <row r="353" spans="1:5" hidden="1" x14ac:dyDescent="0.2">
      <c r="A353" s="33">
        <v>2024</v>
      </c>
      <c r="B353" s="34" t="s">
        <v>110</v>
      </c>
      <c r="C353" s="34" t="s">
        <v>105</v>
      </c>
      <c r="D353" s="35">
        <v>2</v>
      </c>
      <c r="E353" s="36">
        <v>104834</v>
      </c>
    </row>
    <row r="354" spans="1:5" hidden="1" x14ac:dyDescent="0.2">
      <c r="A354" s="33">
        <v>2024</v>
      </c>
      <c r="B354" s="34" t="s">
        <v>110</v>
      </c>
      <c r="C354" s="34" t="s">
        <v>105</v>
      </c>
      <c r="D354" s="35">
        <v>3</v>
      </c>
      <c r="E354" s="36">
        <v>114454</v>
      </c>
    </row>
    <row r="355" spans="1:5" hidden="1" x14ac:dyDescent="0.2">
      <c r="A355" s="33">
        <v>2024</v>
      </c>
      <c r="B355" s="34" t="s">
        <v>110</v>
      </c>
      <c r="C355" s="34" t="s">
        <v>105</v>
      </c>
      <c r="D355" s="35">
        <v>4</v>
      </c>
      <c r="E355" s="36">
        <v>129712</v>
      </c>
    </row>
    <row r="356" spans="1:5" hidden="1" x14ac:dyDescent="0.2">
      <c r="A356" s="33">
        <v>2024</v>
      </c>
      <c r="B356" s="34" t="s">
        <v>110</v>
      </c>
      <c r="C356" s="34" t="s">
        <v>105</v>
      </c>
      <c r="D356" s="35">
        <v>5</v>
      </c>
      <c r="E356" s="36">
        <v>139995</v>
      </c>
    </row>
    <row r="357" spans="1:5" hidden="1" x14ac:dyDescent="0.2">
      <c r="A357" s="33">
        <v>2024</v>
      </c>
      <c r="B357" s="34" t="s">
        <v>110</v>
      </c>
      <c r="C357" s="34" t="s">
        <v>105</v>
      </c>
      <c r="D357" s="35">
        <v>6</v>
      </c>
      <c r="E357" s="36">
        <v>148666</v>
      </c>
    </row>
    <row r="358" spans="1:5" hidden="1" x14ac:dyDescent="0.2">
      <c r="A358" s="33">
        <v>2024</v>
      </c>
      <c r="B358" s="34" t="s">
        <v>110</v>
      </c>
      <c r="C358" s="34" t="s">
        <v>105</v>
      </c>
      <c r="D358" s="35">
        <v>7</v>
      </c>
      <c r="E358" s="36">
        <v>151188</v>
      </c>
    </row>
    <row r="359" spans="1:5" hidden="1" x14ac:dyDescent="0.2">
      <c r="A359" s="33">
        <v>2024</v>
      </c>
      <c r="B359" s="34" t="s">
        <v>110</v>
      </c>
      <c r="C359" s="34" t="s">
        <v>105</v>
      </c>
      <c r="D359" s="35">
        <v>8</v>
      </c>
      <c r="E359" s="36">
        <v>152753</v>
      </c>
    </row>
    <row r="360" spans="1:5" hidden="1" x14ac:dyDescent="0.2">
      <c r="A360" s="33">
        <v>2024</v>
      </c>
      <c r="B360" s="34" t="s">
        <v>110</v>
      </c>
      <c r="C360" s="34" t="s">
        <v>105</v>
      </c>
      <c r="D360" s="35">
        <v>9</v>
      </c>
      <c r="E360" s="36">
        <v>155229</v>
      </c>
    </row>
    <row r="361" spans="1:5" hidden="1" x14ac:dyDescent="0.2">
      <c r="A361" s="33">
        <v>2024</v>
      </c>
      <c r="B361" s="34" t="s">
        <v>110</v>
      </c>
      <c r="C361" s="34" t="s">
        <v>105</v>
      </c>
      <c r="D361" s="35">
        <v>10</v>
      </c>
      <c r="E361" s="36">
        <v>157164</v>
      </c>
    </row>
    <row r="362" spans="1:5" x14ac:dyDescent="0.2">
      <c r="A362" s="33">
        <v>2024</v>
      </c>
      <c r="B362" s="34" t="s">
        <v>89</v>
      </c>
      <c r="C362" s="34" t="s">
        <v>108</v>
      </c>
      <c r="D362" s="35">
        <v>1</v>
      </c>
      <c r="E362" s="36">
        <v>17738</v>
      </c>
    </row>
    <row r="363" spans="1:5" hidden="1" x14ac:dyDescent="0.2">
      <c r="A363" s="33">
        <v>2024</v>
      </c>
      <c r="B363" s="34" t="s">
        <v>110</v>
      </c>
      <c r="C363" s="34" t="s">
        <v>106</v>
      </c>
      <c r="D363" s="35">
        <v>2</v>
      </c>
      <c r="E363" s="36">
        <v>90910</v>
      </c>
    </row>
    <row r="364" spans="1:5" hidden="1" x14ac:dyDescent="0.2">
      <c r="A364" s="33">
        <v>2024</v>
      </c>
      <c r="B364" s="34" t="s">
        <v>110</v>
      </c>
      <c r="C364" s="34" t="s">
        <v>106</v>
      </c>
      <c r="D364" s="35">
        <v>3</v>
      </c>
      <c r="E364" s="36">
        <v>104584</v>
      </c>
    </row>
    <row r="365" spans="1:5" hidden="1" x14ac:dyDescent="0.2">
      <c r="A365" s="33">
        <v>2024</v>
      </c>
      <c r="B365" s="34" t="s">
        <v>110</v>
      </c>
      <c r="C365" s="34" t="s">
        <v>106</v>
      </c>
      <c r="D365" s="35">
        <v>4</v>
      </c>
      <c r="E365" s="36">
        <v>122275</v>
      </c>
    </row>
    <row r="366" spans="1:5" hidden="1" x14ac:dyDescent="0.2">
      <c r="A366" s="33">
        <v>2024</v>
      </c>
      <c r="B366" s="34" t="s">
        <v>110</v>
      </c>
      <c r="C366" s="34" t="s">
        <v>106</v>
      </c>
      <c r="D366" s="35">
        <v>5</v>
      </c>
      <c r="E366" s="36">
        <v>133520</v>
      </c>
    </row>
    <row r="367" spans="1:5" hidden="1" x14ac:dyDescent="0.2">
      <c r="A367" s="33">
        <v>2024</v>
      </c>
      <c r="B367" s="34" t="s">
        <v>110</v>
      </c>
      <c r="C367" s="34" t="s">
        <v>106</v>
      </c>
      <c r="D367" s="35">
        <v>6</v>
      </c>
      <c r="E367" s="36">
        <v>144364</v>
      </c>
    </row>
    <row r="368" spans="1:5" hidden="1" x14ac:dyDescent="0.2">
      <c r="A368" s="33">
        <v>2024</v>
      </c>
      <c r="B368" s="34" t="s">
        <v>110</v>
      </c>
      <c r="C368" s="34" t="s">
        <v>106</v>
      </c>
      <c r="D368" s="35">
        <v>7</v>
      </c>
      <c r="E368" s="36">
        <v>151067</v>
      </c>
    </row>
    <row r="369" spans="1:5" hidden="1" x14ac:dyDescent="0.2">
      <c r="A369" s="33">
        <v>2024</v>
      </c>
      <c r="B369" s="34" t="s">
        <v>110</v>
      </c>
      <c r="C369" s="34" t="s">
        <v>106</v>
      </c>
      <c r="D369" s="35">
        <v>8</v>
      </c>
      <c r="E369" s="36">
        <v>155187</v>
      </c>
    </row>
    <row r="370" spans="1:5" hidden="1" x14ac:dyDescent="0.2">
      <c r="A370" s="33">
        <v>2024</v>
      </c>
      <c r="B370" s="34" t="s">
        <v>110</v>
      </c>
      <c r="C370" s="34" t="s">
        <v>106</v>
      </c>
      <c r="D370" s="35">
        <v>9</v>
      </c>
      <c r="E370" s="36">
        <v>158630</v>
      </c>
    </row>
    <row r="371" spans="1:5" hidden="1" x14ac:dyDescent="0.2">
      <c r="A371" s="33">
        <v>2024</v>
      </c>
      <c r="B371" s="34" t="s">
        <v>110</v>
      </c>
      <c r="C371" s="34" t="s">
        <v>106</v>
      </c>
      <c r="D371" s="35">
        <v>10</v>
      </c>
      <c r="E371" s="36">
        <v>163050</v>
      </c>
    </row>
    <row r="372" spans="1:5" x14ac:dyDescent="0.2">
      <c r="A372" s="33">
        <v>2024</v>
      </c>
      <c r="B372" s="34" t="s">
        <v>110</v>
      </c>
      <c r="C372" s="34" t="s">
        <v>108</v>
      </c>
      <c r="D372" s="35">
        <v>1</v>
      </c>
      <c r="E372" s="36">
        <v>31247</v>
      </c>
    </row>
    <row r="373" spans="1:5" hidden="1" x14ac:dyDescent="0.2">
      <c r="A373" s="33">
        <v>2024</v>
      </c>
      <c r="B373" s="34" t="s">
        <v>110</v>
      </c>
      <c r="C373" s="34" t="s">
        <v>107</v>
      </c>
      <c r="D373" s="35">
        <v>2</v>
      </c>
      <c r="E373" s="36">
        <v>59834</v>
      </c>
    </row>
    <row r="374" spans="1:5" hidden="1" x14ac:dyDescent="0.2">
      <c r="A374" s="33">
        <v>2024</v>
      </c>
      <c r="B374" s="34" t="s">
        <v>110</v>
      </c>
      <c r="C374" s="34" t="s">
        <v>107</v>
      </c>
      <c r="D374" s="35">
        <v>3</v>
      </c>
      <c r="E374" s="36">
        <v>70008</v>
      </c>
    </row>
    <row r="375" spans="1:5" hidden="1" x14ac:dyDescent="0.2">
      <c r="A375" s="33">
        <v>2024</v>
      </c>
      <c r="B375" s="34" t="s">
        <v>110</v>
      </c>
      <c r="C375" s="34" t="s">
        <v>107</v>
      </c>
      <c r="D375" s="35">
        <v>4</v>
      </c>
      <c r="E375" s="36">
        <v>79714</v>
      </c>
    </row>
    <row r="376" spans="1:5" hidden="1" x14ac:dyDescent="0.2">
      <c r="A376" s="33">
        <v>2024</v>
      </c>
      <c r="B376" s="34" t="s">
        <v>110</v>
      </c>
      <c r="C376" s="34" t="s">
        <v>107</v>
      </c>
      <c r="D376" s="35">
        <v>5</v>
      </c>
      <c r="E376" s="36">
        <v>88409</v>
      </c>
    </row>
    <row r="377" spans="1:5" hidden="1" x14ac:dyDescent="0.2">
      <c r="A377" s="33">
        <v>2024</v>
      </c>
      <c r="B377" s="34" t="s">
        <v>110</v>
      </c>
      <c r="C377" s="34" t="s">
        <v>107</v>
      </c>
      <c r="D377" s="35">
        <v>6</v>
      </c>
      <c r="E377" s="36">
        <v>95206</v>
      </c>
    </row>
    <row r="378" spans="1:5" hidden="1" x14ac:dyDescent="0.2">
      <c r="A378" s="33">
        <v>2024</v>
      </c>
      <c r="B378" s="34" t="s">
        <v>110</v>
      </c>
      <c r="C378" s="34" t="s">
        <v>107</v>
      </c>
      <c r="D378" s="35">
        <v>7</v>
      </c>
      <c r="E378" s="36">
        <v>100146</v>
      </c>
    </row>
    <row r="379" spans="1:5" hidden="1" x14ac:dyDescent="0.2">
      <c r="A379" s="33">
        <v>2024</v>
      </c>
      <c r="B379" s="34" t="s">
        <v>110</v>
      </c>
      <c r="C379" s="34" t="s">
        <v>107</v>
      </c>
      <c r="D379" s="35">
        <v>8</v>
      </c>
      <c r="E379" s="36">
        <v>102268</v>
      </c>
    </row>
    <row r="380" spans="1:5" hidden="1" x14ac:dyDescent="0.2">
      <c r="A380" s="33">
        <v>2024</v>
      </c>
      <c r="B380" s="34" t="s">
        <v>110</v>
      </c>
      <c r="C380" s="34" t="s">
        <v>107</v>
      </c>
      <c r="D380" s="35">
        <v>9</v>
      </c>
      <c r="E380" s="36">
        <v>105282</v>
      </c>
    </row>
    <row r="381" spans="1:5" hidden="1" x14ac:dyDescent="0.2">
      <c r="A381" s="33">
        <v>2024</v>
      </c>
      <c r="B381" s="34" t="s">
        <v>110</v>
      </c>
      <c r="C381" s="34" t="s">
        <v>107</v>
      </c>
      <c r="D381" s="35">
        <v>10</v>
      </c>
      <c r="E381" s="36">
        <v>106607</v>
      </c>
    </row>
    <row r="382" spans="1:5" x14ac:dyDescent="0.2">
      <c r="A382" s="33">
        <v>2024</v>
      </c>
      <c r="B382" s="34" t="s">
        <v>89</v>
      </c>
      <c r="C382" s="34" t="s">
        <v>109</v>
      </c>
      <c r="D382" s="35">
        <v>1</v>
      </c>
      <c r="E382" s="36">
        <v>9272</v>
      </c>
    </row>
    <row r="383" spans="1:5" hidden="1" x14ac:dyDescent="0.2">
      <c r="A383" s="33">
        <v>2024</v>
      </c>
      <c r="B383" s="34" t="s">
        <v>110</v>
      </c>
      <c r="C383" s="34" t="s">
        <v>108</v>
      </c>
      <c r="D383" s="35">
        <v>2</v>
      </c>
      <c r="E383" s="36">
        <v>39354</v>
      </c>
    </row>
    <row r="384" spans="1:5" hidden="1" x14ac:dyDescent="0.2">
      <c r="A384" s="33">
        <v>2024</v>
      </c>
      <c r="B384" s="34" t="s">
        <v>110</v>
      </c>
      <c r="C384" s="34" t="s">
        <v>108</v>
      </c>
      <c r="D384" s="35">
        <v>3</v>
      </c>
      <c r="E384" s="36">
        <v>45102</v>
      </c>
    </row>
    <row r="385" spans="1:5" hidden="1" x14ac:dyDescent="0.2">
      <c r="A385" s="33">
        <v>2024</v>
      </c>
      <c r="B385" s="34" t="s">
        <v>110</v>
      </c>
      <c r="C385" s="34" t="s">
        <v>108</v>
      </c>
      <c r="D385" s="35">
        <v>4</v>
      </c>
      <c r="E385" s="36">
        <v>52046</v>
      </c>
    </row>
    <row r="386" spans="1:5" hidden="1" x14ac:dyDescent="0.2">
      <c r="A386" s="33">
        <v>2024</v>
      </c>
      <c r="B386" s="34" t="s">
        <v>110</v>
      </c>
      <c r="C386" s="34" t="s">
        <v>108</v>
      </c>
      <c r="D386" s="35">
        <v>5</v>
      </c>
      <c r="E386" s="36">
        <v>58116</v>
      </c>
    </row>
    <row r="387" spans="1:5" hidden="1" x14ac:dyDescent="0.2">
      <c r="A387" s="33">
        <v>2024</v>
      </c>
      <c r="B387" s="34" t="s">
        <v>110</v>
      </c>
      <c r="C387" s="34" t="s">
        <v>108</v>
      </c>
      <c r="D387" s="35">
        <v>6</v>
      </c>
      <c r="E387" s="36">
        <v>61773</v>
      </c>
    </row>
    <row r="388" spans="1:5" hidden="1" x14ac:dyDescent="0.2">
      <c r="A388" s="33">
        <v>2024</v>
      </c>
      <c r="B388" s="34" t="s">
        <v>110</v>
      </c>
      <c r="C388" s="34" t="s">
        <v>108</v>
      </c>
      <c r="D388" s="35">
        <v>7</v>
      </c>
      <c r="E388" s="36">
        <v>65099</v>
      </c>
    </row>
    <row r="389" spans="1:5" hidden="1" x14ac:dyDescent="0.2">
      <c r="A389" s="33">
        <v>2024</v>
      </c>
      <c r="B389" s="34" t="s">
        <v>110</v>
      </c>
      <c r="C389" s="34" t="s">
        <v>108</v>
      </c>
      <c r="D389" s="35">
        <v>8</v>
      </c>
      <c r="E389" s="36">
        <v>66898</v>
      </c>
    </row>
    <row r="390" spans="1:5" hidden="1" x14ac:dyDescent="0.2">
      <c r="A390" s="33">
        <v>2024</v>
      </c>
      <c r="B390" s="34" t="s">
        <v>110</v>
      </c>
      <c r="C390" s="34" t="s">
        <v>108</v>
      </c>
      <c r="D390" s="35">
        <v>9</v>
      </c>
      <c r="E390" s="36">
        <v>69884</v>
      </c>
    </row>
    <row r="391" spans="1:5" hidden="1" x14ac:dyDescent="0.2">
      <c r="A391" s="33">
        <v>2024</v>
      </c>
      <c r="B391" s="34" t="s">
        <v>110</v>
      </c>
      <c r="C391" s="34" t="s">
        <v>108</v>
      </c>
      <c r="D391" s="35">
        <v>10</v>
      </c>
      <c r="E391" s="36">
        <v>71596</v>
      </c>
    </row>
    <row r="392" spans="1:5" x14ac:dyDescent="0.2">
      <c r="A392" s="33">
        <v>2024</v>
      </c>
      <c r="B392" s="34" t="s">
        <v>110</v>
      </c>
      <c r="C392" s="34" t="s">
        <v>109</v>
      </c>
      <c r="D392" s="35">
        <v>1</v>
      </c>
      <c r="E392" s="36">
        <v>20939</v>
      </c>
    </row>
    <row r="393" spans="1:5" hidden="1" x14ac:dyDescent="0.2">
      <c r="A393" s="33">
        <v>2024</v>
      </c>
      <c r="B393" s="34" t="s">
        <v>110</v>
      </c>
      <c r="C393" s="34" t="s">
        <v>109</v>
      </c>
      <c r="D393" s="35">
        <v>2</v>
      </c>
      <c r="E393" s="36">
        <v>24946</v>
      </c>
    </row>
    <row r="394" spans="1:5" hidden="1" x14ac:dyDescent="0.2">
      <c r="A394" s="33">
        <v>2024</v>
      </c>
      <c r="B394" s="34" t="s">
        <v>110</v>
      </c>
      <c r="C394" s="34" t="s">
        <v>109</v>
      </c>
      <c r="D394" s="35">
        <v>3</v>
      </c>
      <c r="E394" s="36">
        <v>29411</v>
      </c>
    </row>
    <row r="395" spans="1:5" hidden="1" x14ac:dyDescent="0.2">
      <c r="A395" s="33">
        <v>2024</v>
      </c>
      <c r="B395" s="34" t="s">
        <v>110</v>
      </c>
      <c r="C395" s="34" t="s">
        <v>109</v>
      </c>
      <c r="D395" s="35">
        <v>4</v>
      </c>
      <c r="E395" s="36">
        <v>33224</v>
      </c>
    </row>
    <row r="396" spans="1:5" hidden="1" x14ac:dyDescent="0.2">
      <c r="A396" s="33">
        <v>2024</v>
      </c>
      <c r="B396" s="34" t="s">
        <v>110</v>
      </c>
      <c r="C396" s="34" t="s">
        <v>109</v>
      </c>
      <c r="D396" s="35">
        <v>5</v>
      </c>
      <c r="E396" s="36">
        <v>36784</v>
      </c>
    </row>
    <row r="397" spans="1:5" hidden="1" x14ac:dyDescent="0.2">
      <c r="A397" s="33">
        <v>2024</v>
      </c>
      <c r="B397" s="34" t="s">
        <v>110</v>
      </c>
      <c r="C397" s="34" t="s">
        <v>109</v>
      </c>
      <c r="D397" s="35">
        <v>6</v>
      </c>
      <c r="E397" s="36">
        <v>38244</v>
      </c>
    </row>
    <row r="398" spans="1:5" hidden="1" x14ac:dyDescent="0.2">
      <c r="A398" s="33">
        <v>2024</v>
      </c>
      <c r="B398" s="34" t="s">
        <v>110</v>
      </c>
      <c r="C398" s="34" t="s">
        <v>109</v>
      </c>
      <c r="D398" s="35">
        <v>7</v>
      </c>
      <c r="E398" s="36">
        <v>41079</v>
      </c>
    </row>
    <row r="399" spans="1:5" hidden="1" x14ac:dyDescent="0.2">
      <c r="A399" s="33">
        <v>2024</v>
      </c>
      <c r="B399" s="34" t="s">
        <v>110</v>
      </c>
      <c r="C399" s="34" t="s">
        <v>109</v>
      </c>
      <c r="D399" s="35">
        <v>8</v>
      </c>
      <c r="E399" s="36">
        <v>40792</v>
      </c>
    </row>
    <row r="400" spans="1:5" hidden="1" x14ac:dyDescent="0.2">
      <c r="A400" s="33">
        <v>2024</v>
      </c>
      <c r="B400" s="34" t="s">
        <v>110</v>
      </c>
      <c r="C400" s="34" t="s">
        <v>109</v>
      </c>
      <c r="D400" s="35">
        <v>9</v>
      </c>
      <c r="E400" s="36">
        <v>43986</v>
      </c>
    </row>
    <row r="401" spans="1:5" hidden="1" x14ac:dyDescent="0.2">
      <c r="A401" s="33">
        <v>2024</v>
      </c>
      <c r="B401" s="34" t="s">
        <v>110</v>
      </c>
      <c r="C401" s="34" t="s">
        <v>109</v>
      </c>
      <c r="D401" s="35">
        <v>10</v>
      </c>
      <c r="E401" s="36">
        <v>43865</v>
      </c>
    </row>
    <row r="403" spans="1:5" x14ac:dyDescent="0.2">
      <c r="A403" s="24"/>
    </row>
    <row r="404" spans="1:5" x14ac:dyDescent="0.2">
      <c r="A404" s="24"/>
    </row>
    <row r="405" spans="1:5" x14ac:dyDescent="0.2">
      <c r="A405" s="24"/>
    </row>
    <row r="406" spans="1:5" x14ac:dyDescent="0.2">
      <c r="A406" s="24"/>
    </row>
    <row r="407" spans="1:5" x14ac:dyDescent="0.2">
      <c r="A407" s="24"/>
    </row>
    <row r="408" spans="1:5" x14ac:dyDescent="0.2">
      <c r="A408" s="24"/>
    </row>
    <row r="409" spans="1:5" x14ac:dyDescent="0.2">
      <c r="A409" s="24"/>
    </row>
    <row r="410" spans="1:5" x14ac:dyDescent="0.2">
      <c r="A410" s="24"/>
    </row>
    <row r="411" spans="1:5" x14ac:dyDescent="0.2">
      <c r="A411" s="24"/>
    </row>
    <row r="412" spans="1:5" x14ac:dyDescent="0.2">
      <c r="A412" s="24"/>
    </row>
    <row r="413" spans="1:5" x14ac:dyDescent="0.2">
      <c r="A413" s="24"/>
    </row>
    <row r="414" spans="1:5" x14ac:dyDescent="0.2">
      <c r="A414" s="24"/>
    </row>
    <row r="415" spans="1:5" x14ac:dyDescent="0.2">
      <c r="A415" s="24"/>
    </row>
    <row r="416" spans="1:5" x14ac:dyDescent="0.2">
      <c r="A416" s="24"/>
    </row>
    <row r="417" spans="1:1" x14ac:dyDescent="0.2">
      <c r="A417" s="24"/>
    </row>
    <row r="418" spans="1:1" x14ac:dyDescent="0.2">
      <c r="A418" s="24"/>
    </row>
    <row r="419" spans="1:1" x14ac:dyDescent="0.2">
      <c r="A419" s="24"/>
    </row>
    <row r="420" spans="1:1" x14ac:dyDescent="0.2">
      <c r="A420" s="24"/>
    </row>
    <row r="421" spans="1:1" x14ac:dyDescent="0.2">
      <c r="A421" s="24"/>
    </row>
    <row r="422" spans="1:1" x14ac:dyDescent="0.2">
      <c r="A422" s="24"/>
    </row>
    <row r="423" spans="1:1" x14ac:dyDescent="0.2">
      <c r="A423" s="24"/>
    </row>
    <row r="424" spans="1:1" x14ac:dyDescent="0.2">
      <c r="A424" s="24"/>
    </row>
    <row r="425" spans="1:1" x14ac:dyDescent="0.2">
      <c r="A425" s="24"/>
    </row>
    <row r="426" spans="1:1" x14ac:dyDescent="0.2">
      <c r="A426" s="24"/>
    </row>
    <row r="427" spans="1:1" x14ac:dyDescent="0.2">
      <c r="A427" s="24"/>
    </row>
    <row r="428" spans="1:1" x14ac:dyDescent="0.2">
      <c r="A428" s="24"/>
    </row>
    <row r="429" spans="1:1" x14ac:dyDescent="0.2">
      <c r="A429" s="24"/>
    </row>
    <row r="430" spans="1:1" x14ac:dyDescent="0.2">
      <c r="A430" s="24"/>
    </row>
    <row r="431" spans="1:1" x14ac:dyDescent="0.2">
      <c r="A431" s="24"/>
    </row>
    <row r="432" spans="1:1" x14ac:dyDescent="0.2">
      <c r="A432" s="24"/>
    </row>
    <row r="433" spans="1:1" x14ac:dyDescent="0.2">
      <c r="A433" s="24"/>
    </row>
    <row r="434" spans="1:1" x14ac:dyDescent="0.2">
      <c r="A434" s="24"/>
    </row>
    <row r="435" spans="1:1" x14ac:dyDescent="0.2">
      <c r="A435" s="24"/>
    </row>
    <row r="436" spans="1:1" x14ac:dyDescent="0.2">
      <c r="A436" s="24"/>
    </row>
    <row r="437" spans="1:1" x14ac:dyDescent="0.2">
      <c r="A437" s="24"/>
    </row>
    <row r="438" spans="1:1" x14ac:dyDescent="0.2">
      <c r="A438" s="24"/>
    </row>
    <row r="439" spans="1:1" x14ac:dyDescent="0.2">
      <c r="A439" s="24"/>
    </row>
    <row r="440" spans="1:1" x14ac:dyDescent="0.2">
      <c r="A440" s="24"/>
    </row>
    <row r="441" spans="1:1" x14ac:dyDescent="0.2">
      <c r="A441" s="24"/>
    </row>
    <row r="442" spans="1:1" x14ac:dyDescent="0.2">
      <c r="A442" s="24"/>
    </row>
    <row r="443" spans="1:1" x14ac:dyDescent="0.2">
      <c r="A443" s="24"/>
    </row>
    <row r="444" spans="1:1" x14ac:dyDescent="0.2">
      <c r="A444" s="24"/>
    </row>
    <row r="445" spans="1:1" x14ac:dyDescent="0.2">
      <c r="A445" s="24"/>
    </row>
    <row r="446" spans="1:1" x14ac:dyDescent="0.2">
      <c r="A446" s="24"/>
    </row>
    <row r="447" spans="1:1" x14ac:dyDescent="0.2">
      <c r="A447" s="24"/>
    </row>
    <row r="448" spans="1:1" x14ac:dyDescent="0.2">
      <c r="A448" s="24"/>
    </row>
    <row r="449" spans="1:1" x14ac:dyDescent="0.2">
      <c r="A449" s="24"/>
    </row>
    <row r="450" spans="1:1" x14ac:dyDescent="0.2">
      <c r="A450" s="24"/>
    </row>
    <row r="451" spans="1:1" x14ac:dyDescent="0.2">
      <c r="A451" s="24"/>
    </row>
    <row r="452" spans="1:1" x14ac:dyDescent="0.2">
      <c r="A452" s="24"/>
    </row>
    <row r="453" spans="1:1" x14ac:dyDescent="0.2">
      <c r="A453" s="24"/>
    </row>
  </sheetData>
  <autoFilter ref="A1:E401" xr:uid="{1854F3DA-6B62-944E-9569-B95CC91EE710}">
    <filterColumn colId="2">
      <filters>
        <filter val="15-19"/>
        <filter val="20-24"/>
        <filter val="25-29"/>
        <filter val="30-34"/>
        <filter val="35-39"/>
        <filter val="40-44"/>
        <filter val="45-49"/>
        <filter val="50-54"/>
        <filter val="55-59"/>
        <filter val="60-64"/>
        <filter val="65-69"/>
        <filter val="70-74"/>
        <filter val="75-79"/>
        <filter val="80-84"/>
        <filter val="85-89"/>
        <filter val="90+"/>
      </filters>
    </filterColumn>
    <filterColumn colId="3">
      <filters>
        <filter val="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45BB-2631-8F41-BD8D-09744D724F88}">
  <dimension ref="A1:F33"/>
  <sheetViews>
    <sheetView workbookViewId="0">
      <selection activeCell="E2" sqref="E2:E25"/>
    </sheetView>
  </sheetViews>
  <sheetFormatPr baseColWidth="10" defaultRowHeight="16" x14ac:dyDescent="0.2"/>
  <sheetData>
    <row r="1" spans="1:6" x14ac:dyDescent="0.2">
      <c r="A1" t="s">
        <v>116</v>
      </c>
      <c r="B1" t="s">
        <v>112</v>
      </c>
      <c r="C1" t="s">
        <v>117</v>
      </c>
      <c r="D1" t="s">
        <v>118</v>
      </c>
      <c r="E1" t="s">
        <v>124</v>
      </c>
      <c r="F1" t="s">
        <v>123</v>
      </c>
    </row>
    <row r="2" spans="1:6" x14ac:dyDescent="0.2">
      <c r="A2" t="s">
        <v>119</v>
      </c>
      <c r="B2" t="s">
        <v>120</v>
      </c>
      <c r="C2" t="s">
        <v>94</v>
      </c>
      <c r="D2">
        <v>1807060</v>
      </c>
      <c r="E2">
        <f>D2/10</f>
        <v>180706</v>
      </c>
      <c r="F2" s="36">
        <v>223908</v>
      </c>
    </row>
    <row r="3" spans="1:6" x14ac:dyDescent="0.2">
      <c r="A3" t="s">
        <v>119</v>
      </c>
      <c r="B3" t="s">
        <v>121</v>
      </c>
      <c r="C3" t="s">
        <v>94</v>
      </c>
      <c r="D3">
        <v>1702095</v>
      </c>
      <c r="E3">
        <f t="shared" ref="E3:E25" si="0">D3/10</f>
        <v>170209.5</v>
      </c>
      <c r="F3" s="36">
        <v>208425</v>
      </c>
    </row>
    <row r="4" spans="1:6" x14ac:dyDescent="0.2">
      <c r="A4" t="s">
        <v>119</v>
      </c>
      <c r="B4" t="s">
        <v>120</v>
      </c>
      <c r="C4" t="s">
        <v>95</v>
      </c>
      <c r="D4">
        <v>1807051</v>
      </c>
      <c r="E4">
        <f t="shared" si="0"/>
        <v>180705.1</v>
      </c>
      <c r="F4" s="36">
        <v>213956</v>
      </c>
    </row>
    <row r="5" spans="1:6" x14ac:dyDescent="0.2">
      <c r="A5" t="s">
        <v>119</v>
      </c>
      <c r="B5" t="s">
        <v>121</v>
      </c>
      <c r="C5" t="s">
        <v>95</v>
      </c>
      <c r="D5">
        <v>1718967</v>
      </c>
      <c r="E5">
        <f t="shared" si="0"/>
        <v>171896.7</v>
      </c>
      <c r="F5" s="36">
        <v>201724</v>
      </c>
    </row>
    <row r="6" spans="1:6" x14ac:dyDescent="0.2">
      <c r="A6" t="s">
        <v>119</v>
      </c>
      <c r="B6" t="s">
        <v>120</v>
      </c>
      <c r="C6" t="s">
        <v>96</v>
      </c>
      <c r="D6">
        <v>1927578</v>
      </c>
      <c r="E6">
        <f t="shared" si="0"/>
        <v>192757.8</v>
      </c>
      <c r="F6" s="36">
        <v>214810</v>
      </c>
    </row>
    <row r="7" spans="1:6" x14ac:dyDescent="0.2">
      <c r="A7" t="s">
        <v>119</v>
      </c>
      <c r="B7" t="s">
        <v>121</v>
      </c>
      <c r="C7" t="s">
        <v>96</v>
      </c>
      <c r="D7">
        <v>1957993</v>
      </c>
      <c r="E7">
        <f t="shared" si="0"/>
        <v>195799.3</v>
      </c>
      <c r="F7" s="36">
        <v>225382</v>
      </c>
    </row>
    <row r="8" spans="1:6" x14ac:dyDescent="0.2">
      <c r="A8" t="s">
        <v>119</v>
      </c>
      <c r="B8" t="s">
        <v>120</v>
      </c>
      <c r="C8" t="s">
        <v>97</v>
      </c>
      <c r="D8">
        <v>1994170</v>
      </c>
      <c r="E8">
        <f t="shared" si="0"/>
        <v>199417</v>
      </c>
      <c r="F8" s="36">
        <v>218806</v>
      </c>
    </row>
    <row r="9" spans="1:6" x14ac:dyDescent="0.2">
      <c r="A9" t="s">
        <v>119</v>
      </c>
      <c r="B9" t="s">
        <v>121</v>
      </c>
      <c r="C9" t="s">
        <v>97</v>
      </c>
      <c r="D9">
        <v>2106974</v>
      </c>
      <c r="E9">
        <f t="shared" si="0"/>
        <v>210697.4</v>
      </c>
      <c r="F9" s="36">
        <v>239675</v>
      </c>
    </row>
    <row r="10" spans="1:6" x14ac:dyDescent="0.2">
      <c r="A10" t="s">
        <v>119</v>
      </c>
      <c r="B10" t="s">
        <v>120</v>
      </c>
      <c r="C10" t="s">
        <v>98</v>
      </c>
      <c r="D10">
        <v>1962237</v>
      </c>
      <c r="E10">
        <f t="shared" si="0"/>
        <v>196223.7</v>
      </c>
      <c r="F10" s="36">
        <v>212976</v>
      </c>
    </row>
    <row r="11" spans="1:6" x14ac:dyDescent="0.2">
      <c r="A11" t="s">
        <v>119</v>
      </c>
      <c r="B11" t="s">
        <v>121</v>
      </c>
      <c r="C11" t="s">
        <v>98</v>
      </c>
      <c r="D11">
        <v>2111221</v>
      </c>
      <c r="E11">
        <f t="shared" si="0"/>
        <v>211122.1</v>
      </c>
      <c r="F11" s="36">
        <v>238057</v>
      </c>
    </row>
    <row r="12" spans="1:6" x14ac:dyDescent="0.2">
      <c r="A12" t="s">
        <v>119</v>
      </c>
      <c r="B12" t="s">
        <v>120</v>
      </c>
      <c r="C12" t="s">
        <v>99</v>
      </c>
      <c r="D12">
        <v>1868751</v>
      </c>
      <c r="E12">
        <f t="shared" si="0"/>
        <v>186875.1</v>
      </c>
      <c r="F12" s="36">
        <v>194226</v>
      </c>
    </row>
    <row r="13" spans="1:6" x14ac:dyDescent="0.2">
      <c r="A13" t="s">
        <v>119</v>
      </c>
      <c r="B13" t="s">
        <v>121</v>
      </c>
      <c r="C13" t="s">
        <v>99</v>
      </c>
      <c r="D13">
        <v>1986529</v>
      </c>
      <c r="E13">
        <f t="shared" si="0"/>
        <v>198652.9</v>
      </c>
      <c r="F13" s="36">
        <v>207794</v>
      </c>
    </row>
    <row r="14" spans="1:6" x14ac:dyDescent="0.2">
      <c r="A14" t="s">
        <v>119</v>
      </c>
      <c r="B14" t="s">
        <v>120</v>
      </c>
      <c r="C14" t="s">
        <v>100</v>
      </c>
      <c r="D14">
        <v>1705706</v>
      </c>
      <c r="E14">
        <f t="shared" si="0"/>
        <v>170570.6</v>
      </c>
      <c r="F14" s="36">
        <v>169270</v>
      </c>
    </row>
    <row r="15" spans="1:6" x14ac:dyDescent="0.2">
      <c r="A15" t="s">
        <v>119</v>
      </c>
      <c r="B15" t="s">
        <v>121</v>
      </c>
      <c r="C15" t="s">
        <v>100</v>
      </c>
      <c r="D15">
        <v>1774061</v>
      </c>
      <c r="E15">
        <f t="shared" si="0"/>
        <v>177406.1</v>
      </c>
      <c r="F15" s="36">
        <v>171771</v>
      </c>
    </row>
    <row r="16" spans="1:6" x14ac:dyDescent="0.2">
      <c r="A16" t="s">
        <v>119</v>
      </c>
      <c r="B16" t="s">
        <v>120</v>
      </c>
      <c r="C16" t="s">
        <v>101</v>
      </c>
      <c r="D16">
        <v>1829873</v>
      </c>
      <c r="E16">
        <f t="shared" si="0"/>
        <v>182987.3</v>
      </c>
      <c r="F16" s="36">
        <v>170872</v>
      </c>
    </row>
    <row r="17" spans="1:6" x14ac:dyDescent="0.2">
      <c r="A17" t="s">
        <v>119</v>
      </c>
      <c r="B17" t="s">
        <v>121</v>
      </c>
      <c r="C17" t="s">
        <v>101</v>
      </c>
      <c r="D17">
        <v>1898925</v>
      </c>
      <c r="E17">
        <f t="shared" si="0"/>
        <v>189892.5</v>
      </c>
      <c r="F17" s="36">
        <v>173814</v>
      </c>
    </row>
    <row r="18" spans="1:6" x14ac:dyDescent="0.2">
      <c r="A18" t="s">
        <v>119</v>
      </c>
      <c r="B18" t="s">
        <v>120</v>
      </c>
      <c r="C18" t="s">
        <v>102</v>
      </c>
      <c r="D18">
        <v>1890154</v>
      </c>
      <c r="E18">
        <f t="shared" si="0"/>
        <v>189015.4</v>
      </c>
      <c r="F18" s="36">
        <v>167173</v>
      </c>
    </row>
    <row r="19" spans="1:6" x14ac:dyDescent="0.2">
      <c r="A19" t="s">
        <v>119</v>
      </c>
      <c r="B19" t="s">
        <v>121</v>
      </c>
      <c r="C19" t="s">
        <v>102</v>
      </c>
      <c r="D19">
        <v>1971186</v>
      </c>
      <c r="E19">
        <f t="shared" si="0"/>
        <v>197118.6</v>
      </c>
      <c r="F19" s="36">
        <v>169233</v>
      </c>
    </row>
    <row r="20" spans="1:6" x14ac:dyDescent="0.2">
      <c r="A20" t="s">
        <v>119</v>
      </c>
      <c r="B20" t="s">
        <v>120</v>
      </c>
      <c r="C20" t="s">
        <v>103</v>
      </c>
      <c r="D20">
        <v>1742130</v>
      </c>
      <c r="E20">
        <f t="shared" si="0"/>
        <v>174213</v>
      </c>
      <c r="F20" s="36">
        <v>146972</v>
      </c>
    </row>
    <row r="21" spans="1:6" x14ac:dyDescent="0.2">
      <c r="A21" t="s">
        <v>119</v>
      </c>
      <c r="B21" t="s">
        <v>121</v>
      </c>
      <c r="C21" t="s">
        <v>103</v>
      </c>
      <c r="D21">
        <v>1820649</v>
      </c>
      <c r="E21">
        <f t="shared" si="0"/>
        <v>182064.9</v>
      </c>
      <c r="F21" s="36">
        <v>148924</v>
      </c>
    </row>
    <row r="22" spans="1:6" x14ac:dyDescent="0.2">
      <c r="A22" t="s">
        <v>119</v>
      </c>
      <c r="B22" t="s">
        <v>120</v>
      </c>
      <c r="C22" t="s">
        <v>48</v>
      </c>
      <c r="D22">
        <v>1690793</v>
      </c>
      <c r="E22">
        <f t="shared" si="0"/>
        <v>169079.3</v>
      </c>
      <c r="F22" s="36">
        <v>116491</v>
      </c>
    </row>
    <row r="23" spans="1:6" x14ac:dyDescent="0.2">
      <c r="A23" t="s">
        <v>119</v>
      </c>
      <c r="B23" t="s">
        <v>121</v>
      </c>
      <c r="C23" t="s">
        <v>48</v>
      </c>
      <c r="D23">
        <v>1797494</v>
      </c>
      <c r="E23">
        <f t="shared" si="0"/>
        <v>179749.4</v>
      </c>
      <c r="F23" s="36">
        <v>118806</v>
      </c>
    </row>
    <row r="24" spans="1:6" x14ac:dyDescent="0.2">
      <c r="A24" t="s">
        <v>119</v>
      </c>
      <c r="B24" t="s">
        <v>120</v>
      </c>
      <c r="C24" t="s">
        <v>122</v>
      </c>
      <c r="D24">
        <v>3351429</v>
      </c>
      <c r="E24">
        <f t="shared" si="0"/>
        <v>335142.90000000002</v>
      </c>
      <c r="F24">
        <v>216840</v>
      </c>
    </row>
    <row r="25" spans="1:6" x14ac:dyDescent="0.2">
      <c r="A25" t="s">
        <v>119</v>
      </c>
      <c r="B25" t="s">
        <v>121</v>
      </c>
      <c r="C25" t="s">
        <v>122</v>
      </c>
      <c r="D25">
        <v>4141376</v>
      </c>
      <c r="E25">
        <f t="shared" si="0"/>
        <v>414137.59999999998</v>
      </c>
      <c r="F25">
        <v>273731</v>
      </c>
    </row>
    <row r="26" spans="1:6" x14ac:dyDescent="0.2">
      <c r="E26" s="36"/>
    </row>
    <row r="27" spans="1:6" x14ac:dyDescent="0.2">
      <c r="E27" s="36"/>
    </row>
    <row r="28" spans="1:6" x14ac:dyDescent="0.2">
      <c r="E28" s="36"/>
    </row>
    <row r="29" spans="1:6" x14ac:dyDescent="0.2">
      <c r="E29" s="36"/>
    </row>
    <row r="30" spans="1:6" x14ac:dyDescent="0.2">
      <c r="E30" s="36"/>
    </row>
    <row r="31" spans="1:6" x14ac:dyDescent="0.2">
      <c r="E31" s="36"/>
    </row>
    <row r="32" spans="1:6" x14ac:dyDescent="0.2">
      <c r="E32" s="36"/>
    </row>
    <row r="33" spans="5:5" x14ac:dyDescent="0.2">
      <c r="E33" s="36"/>
    </row>
  </sheetData>
  <autoFilter ref="A1:D49" xr:uid="{764745BB-2631-8F41-BD8D-09744D724F88}">
    <sortState xmlns:xlrd2="http://schemas.microsoft.com/office/spreadsheetml/2017/richdata2" ref="A2:D49">
      <sortCondition ref="C1:C4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A0A0-EC3D-B543-B80E-25750C9FCA58}">
  <dimension ref="A1:T70"/>
  <sheetViews>
    <sheetView workbookViewId="0">
      <selection activeCell="G4" sqref="G4"/>
    </sheetView>
  </sheetViews>
  <sheetFormatPr baseColWidth="10" defaultRowHeight="16" x14ac:dyDescent="0.2"/>
  <sheetData>
    <row r="1" spans="1:20" ht="75" customHeight="1" x14ac:dyDescent="0.2">
      <c r="A1" s="5" t="s">
        <v>1</v>
      </c>
      <c r="B1" s="6"/>
      <c r="C1" s="6"/>
      <c r="D1" s="7" t="s">
        <v>3</v>
      </c>
      <c r="E1" s="7" t="s">
        <v>2</v>
      </c>
      <c r="F1" s="7" t="s">
        <v>4</v>
      </c>
      <c r="G1" s="7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27" thickBot="1" x14ac:dyDescent="0.25">
      <c r="A2" s="8"/>
      <c r="B2" s="9" t="s">
        <v>0</v>
      </c>
      <c r="C2" s="9" t="s">
        <v>7</v>
      </c>
      <c r="D2" s="8"/>
      <c r="E2" s="8"/>
      <c r="F2" s="8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7" thickBot="1" x14ac:dyDescent="0.25">
      <c r="A3" s="8"/>
      <c r="B3" s="10" t="s">
        <v>8</v>
      </c>
      <c r="C3" s="11" t="s">
        <v>9</v>
      </c>
      <c r="D3" s="12">
        <v>32499</v>
      </c>
      <c r="E3" s="12">
        <v>148450</v>
      </c>
      <c r="F3" s="12">
        <v>8375</v>
      </c>
      <c r="G3" s="12">
        <v>189317</v>
      </c>
      <c r="H3" s="1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7" thickBot="1" x14ac:dyDescent="0.25">
      <c r="A4" s="8"/>
      <c r="B4" s="6"/>
      <c r="C4" s="11" t="s">
        <v>10</v>
      </c>
      <c r="D4" s="12">
        <v>4311</v>
      </c>
      <c r="E4" s="12">
        <v>133569</v>
      </c>
      <c r="F4" s="12">
        <v>2259</v>
      </c>
      <c r="G4" s="12">
        <v>140136</v>
      </c>
      <c r="H4" s="1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7" thickBot="1" x14ac:dyDescent="0.25">
      <c r="A5" s="8"/>
      <c r="B5" s="6"/>
      <c r="C5" s="11" t="s">
        <v>11</v>
      </c>
      <c r="D5" s="12" t="s">
        <v>6</v>
      </c>
      <c r="E5" s="12" t="s">
        <v>6</v>
      </c>
      <c r="F5" s="12" t="s">
        <v>6</v>
      </c>
      <c r="G5" s="12" t="s">
        <v>6</v>
      </c>
      <c r="H5" s="1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7" thickBot="1" x14ac:dyDescent="0.25">
      <c r="A6" s="8"/>
      <c r="B6" s="6"/>
      <c r="C6" s="11" t="s">
        <v>5</v>
      </c>
      <c r="D6" s="12">
        <v>36807</v>
      </c>
      <c r="E6" s="12">
        <v>282017</v>
      </c>
      <c r="F6" s="12">
        <v>10632</v>
      </c>
      <c r="G6" s="12">
        <v>329448</v>
      </c>
      <c r="H6" s="1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27" thickBot="1" x14ac:dyDescent="0.25">
      <c r="A7" s="8"/>
      <c r="B7" s="10" t="s">
        <v>12</v>
      </c>
      <c r="C7" s="11" t="s">
        <v>9</v>
      </c>
      <c r="D7" s="12">
        <v>46134</v>
      </c>
      <c r="E7" s="12">
        <v>184412</v>
      </c>
      <c r="F7" s="12">
        <v>8217</v>
      </c>
      <c r="G7" s="12">
        <v>238757</v>
      </c>
      <c r="H7" s="1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27" thickBot="1" x14ac:dyDescent="0.25">
      <c r="A8" s="8"/>
      <c r="B8" s="6"/>
      <c r="C8" s="11" t="s">
        <v>10</v>
      </c>
      <c r="D8" s="12">
        <v>6597</v>
      </c>
      <c r="E8" s="12">
        <v>135236</v>
      </c>
      <c r="F8" s="12">
        <v>1468</v>
      </c>
      <c r="G8" s="12">
        <v>143296</v>
      </c>
      <c r="H8" s="1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7" thickBot="1" x14ac:dyDescent="0.25">
      <c r="A9" s="8"/>
      <c r="B9" s="6"/>
      <c r="C9" s="11" t="s">
        <v>11</v>
      </c>
      <c r="D9" s="12" t="s">
        <v>6</v>
      </c>
      <c r="E9" s="12" t="s">
        <v>6</v>
      </c>
      <c r="F9" s="12" t="s">
        <v>6</v>
      </c>
      <c r="G9" s="12" t="s">
        <v>6</v>
      </c>
      <c r="H9" s="1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7" thickBot="1" x14ac:dyDescent="0.25">
      <c r="A10" s="8"/>
      <c r="B10" s="6"/>
      <c r="C10" s="11" t="s">
        <v>5</v>
      </c>
      <c r="D10" s="12">
        <v>52728</v>
      </c>
      <c r="E10" s="12">
        <v>319647</v>
      </c>
      <c r="F10" s="12">
        <v>9685</v>
      </c>
      <c r="G10" s="12">
        <v>382057</v>
      </c>
      <c r="H10" s="1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27" thickBot="1" x14ac:dyDescent="0.25">
      <c r="A11" s="8"/>
      <c r="B11" s="10" t="s">
        <v>13</v>
      </c>
      <c r="C11" s="11" t="s">
        <v>9</v>
      </c>
      <c r="D11" s="12">
        <v>25802</v>
      </c>
      <c r="E11" s="12">
        <v>233724</v>
      </c>
      <c r="F11" s="12">
        <v>7015</v>
      </c>
      <c r="G11" s="12">
        <v>266548</v>
      </c>
      <c r="H11" s="1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27" thickBot="1" x14ac:dyDescent="0.25">
      <c r="A12" s="8"/>
      <c r="B12" s="6"/>
      <c r="C12" s="11" t="s">
        <v>10</v>
      </c>
      <c r="D12" s="12">
        <v>3512</v>
      </c>
      <c r="E12" s="12">
        <v>175427</v>
      </c>
      <c r="F12" s="12">
        <v>1883</v>
      </c>
      <c r="G12" s="12">
        <v>180822</v>
      </c>
      <c r="H12" s="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7" thickBot="1" x14ac:dyDescent="0.25">
      <c r="A13" s="8"/>
      <c r="B13" s="6"/>
      <c r="C13" s="11" t="s">
        <v>11</v>
      </c>
      <c r="D13" s="12" t="s">
        <v>6</v>
      </c>
      <c r="E13" s="12" t="s">
        <v>6</v>
      </c>
      <c r="F13" s="12" t="s">
        <v>6</v>
      </c>
      <c r="G13" s="12" t="s">
        <v>6</v>
      </c>
      <c r="H13" s="1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7" thickBot="1" x14ac:dyDescent="0.25">
      <c r="A14" s="8"/>
      <c r="B14" s="6"/>
      <c r="C14" s="11" t="s">
        <v>5</v>
      </c>
      <c r="D14" s="12">
        <v>29315</v>
      </c>
      <c r="E14" s="12">
        <v>409153</v>
      </c>
      <c r="F14" s="12">
        <v>8899</v>
      </c>
      <c r="G14" s="12">
        <v>447368</v>
      </c>
      <c r="H14" s="1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27" thickBot="1" x14ac:dyDescent="0.25">
      <c r="A15" s="8"/>
      <c r="B15" s="10" t="s">
        <v>14</v>
      </c>
      <c r="C15" s="11" t="s">
        <v>9</v>
      </c>
      <c r="D15" s="12">
        <v>19117</v>
      </c>
      <c r="E15" s="12">
        <v>177904</v>
      </c>
      <c r="F15" s="12">
        <v>7421</v>
      </c>
      <c r="G15" s="12">
        <v>204437</v>
      </c>
      <c r="H15" s="1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27" thickBot="1" x14ac:dyDescent="0.25">
      <c r="A16" s="8"/>
      <c r="B16" s="6"/>
      <c r="C16" s="11" t="s">
        <v>10</v>
      </c>
      <c r="D16" s="12">
        <v>2806</v>
      </c>
      <c r="E16" s="12">
        <v>168108</v>
      </c>
      <c r="F16" s="12">
        <v>1882</v>
      </c>
      <c r="G16" s="12">
        <v>172803</v>
      </c>
      <c r="H16" s="1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7" thickBot="1" x14ac:dyDescent="0.25">
      <c r="A17" s="8"/>
      <c r="B17" s="6"/>
      <c r="C17" s="11" t="s">
        <v>11</v>
      </c>
      <c r="D17" s="12" t="s">
        <v>6</v>
      </c>
      <c r="E17" s="12" t="s">
        <v>6</v>
      </c>
      <c r="F17" s="12" t="s">
        <v>6</v>
      </c>
      <c r="G17" s="12" t="s">
        <v>6</v>
      </c>
      <c r="H17" s="1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7" thickBot="1" x14ac:dyDescent="0.25">
      <c r="A18" s="8"/>
      <c r="B18" s="6"/>
      <c r="C18" s="11" t="s">
        <v>5</v>
      </c>
      <c r="D18" s="12">
        <v>21927</v>
      </c>
      <c r="E18" s="12">
        <v>346015</v>
      </c>
      <c r="F18" s="12">
        <v>9308</v>
      </c>
      <c r="G18" s="12">
        <v>377243</v>
      </c>
      <c r="H18" s="1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27" thickBot="1" x14ac:dyDescent="0.25">
      <c r="A19" s="8"/>
      <c r="B19" s="10" t="s">
        <v>15</v>
      </c>
      <c r="C19" s="11" t="s">
        <v>9</v>
      </c>
      <c r="D19" s="12">
        <v>17309</v>
      </c>
      <c r="E19" s="12">
        <v>160710</v>
      </c>
      <c r="F19" s="12">
        <v>9604</v>
      </c>
      <c r="G19" s="12">
        <v>187624</v>
      </c>
      <c r="H19" s="17"/>
    </row>
    <row r="20" spans="1:20" ht="27" thickBot="1" x14ac:dyDescent="0.25">
      <c r="A20" s="8"/>
      <c r="B20" s="6"/>
      <c r="C20" s="11" t="s">
        <v>10</v>
      </c>
      <c r="D20" s="12">
        <v>2424</v>
      </c>
      <c r="E20" s="12">
        <v>130847</v>
      </c>
      <c r="F20" s="12">
        <v>2764</v>
      </c>
      <c r="G20" s="12">
        <v>136033</v>
      </c>
      <c r="H20" s="13"/>
    </row>
    <row r="21" spans="1:20" ht="17" thickBot="1" x14ac:dyDescent="0.25">
      <c r="A21" s="8"/>
      <c r="B21" s="6"/>
      <c r="C21" s="11" t="s">
        <v>11</v>
      </c>
      <c r="D21" s="12" t="s">
        <v>6</v>
      </c>
      <c r="E21" s="12" t="s">
        <v>6</v>
      </c>
      <c r="F21" s="12" t="s">
        <v>6</v>
      </c>
      <c r="G21" s="12" t="s">
        <v>6</v>
      </c>
      <c r="H21" s="13"/>
    </row>
    <row r="22" spans="1:20" ht="17" thickBot="1" x14ac:dyDescent="0.25">
      <c r="A22" s="8"/>
      <c r="B22" s="6"/>
      <c r="C22" s="11" t="s">
        <v>5</v>
      </c>
      <c r="D22" s="12">
        <v>19729</v>
      </c>
      <c r="E22" s="12">
        <v>291554</v>
      </c>
      <c r="F22" s="12">
        <v>12367</v>
      </c>
      <c r="G22" s="12">
        <v>323657</v>
      </c>
      <c r="H22" s="13"/>
    </row>
    <row r="23" spans="1:20" ht="27" thickBot="1" x14ac:dyDescent="0.25">
      <c r="A23" s="8"/>
      <c r="B23" s="10" t="s">
        <v>16</v>
      </c>
      <c r="C23" s="11" t="s">
        <v>9</v>
      </c>
      <c r="D23" s="12">
        <v>16670</v>
      </c>
      <c r="E23" s="12">
        <v>202953</v>
      </c>
      <c r="F23" s="12">
        <v>12762</v>
      </c>
      <c r="G23" s="12">
        <v>232385</v>
      </c>
      <c r="H23" s="13"/>
    </row>
    <row r="24" spans="1:20" ht="27" thickBot="1" x14ac:dyDescent="0.25">
      <c r="A24" s="8"/>
      <c r="B24" s="6"/>
      <c r="C24" s="11" t="s">
        <v>10</v>
      </c>
      <c r="D24" s="12">
        <v>2436</v>
      </c>
      <c r="E24" s="12">
        <v>157517</v>
      </c>
      <c r="F24" s="12">
        <v>3202</v>
      </c>
      <c r="G24" s="12">
        <v>163159</v>
      </c>
      <c r="H24" s="13"/>
    </row>
    <row r="25" spans="1:20" ht="17" thickBot="1" x14ac:dyDescent="0.25">
      <c r="A25" s="8"/>
      <c r="B25" s="6"/>
      <c r="C25" s="11" t="s">
        <v>11</v>
      </c>
      <c r="D25" s="12" t="s">
        <v>6</v>
      </c>
      <c r="E25" s="12" t="s">
        <v>6</v>
      </c>
      <c r="F25" s="12" t="s">
        <v>6</v>
      </c>
      <c r="G25" s="12" t="s">
        <v>6</v>
      </c>
      <c r="H25" s="13"/>
    </row>
    <row r="26" spans="1:20" ht="17" thickBot="1" x14ac:dyDescent="0.25">
      <c r="A26" s="8"/>
      <c r="B26" s="6"/>
      <c r="C26" s="11" t="s">
        <v>5</v>
      </c>
      <c r="D26" s="12">
        <v>19107</v>
      </c>
      <c r="E26" s="12">
        <v>360471</v>
      </c>
      <c r="F26" s="12">
        <v>15965</v>
      </c>
      <c r="G26" s="12">
        <v>395541</v>
      </c>
      <c r="H26" s="13"/>
    </row>
    <row r="27" spans="1:20" ht="27" thickBot="1" x14ac:dyDescent="0.25">
      <c r="A27" s="8"/>
      <c r="B27" s="10" t="s">
        <v>17</v>
      </c>
      <c r="C27" s="11" t="s">
        <v>9</v>
      </c>
      <c r="D27" s="12">
        <v>15200</v>
      </c>
      <c r="E27" s="12">
        <v>176138</v>
      </c>
      <c r="F27" s="12">
        <v>7304</v>
      </c>
      <c r="G27" s="12">
        <v>198638</v>
      </c>
      <c r="H27" s="13"/>
    </row>
    <row r="28" spans="1:20" ht="27" thickBot="1" x14ac:dyDescent="0.25">
      <c r="A28" s="8"/>
      <c r="B28" s="6"/>
      <c r="C28" s="11" t="s">
        <v>10</v>
      </c>
      <c r="D28" s="12">
        <v>2193</v>
      </c>
      <c r="E28" s="12">
        <v>127183</v>
      </c>
      <c r="F28" s="12">
        <v>1688</v>
      </c>
      <c r="G28" s="12">
        <v>131061</v>
      </c>
      <c r="H28" s="13"/>
    </row>
    <row r="29" spans="1:20" ht="17" thickBot="1" x14ac:dyDescent="0.25">
      <c r="A29" s="8"/>
      <c r="B29" s="6"/>
      <c r="C29" s="11" t="s">
        <v>11</v>
      </c>
      <c r="D29" s="12" t="s">
        <v>6</v>
      </c>
      <c r="E29" s="12" t="s">
        <v>6</v>
      </c>
      <c r="F29" s="12" t="s">
        <v>6</v>
      </c>
      <c r="G29" s="12" t="s">
        <v>6</v>
      </c>
      <c r="H29" s="13"/>
    </row>
    <row r="30" spans="1:20" ht="17" thickBot="1" x14ac:dyDescent="0.25">
      <c r="A30" s="8"/>
      <c r="B30" s="6"/>
      <c r="C30" s="11" t="s">
        <v>5</v>
      </c>
      <c r="D30" s="12">
        <v>17390</v>
      </c>
      <c r="E30" s="12">
        <v>303321</v>
      </c>
      <c r="F30" s="12">
        <v>8989</v>
      </c>
      <c r="G30" s="12">
        <v>329698</v>
      </c>
      <c r="H30" s="13"/>
    </row>
    <row r="31" spans="1:20" ht="27" thickBot="1" x14ac:dyDescent="0.25">
      <c r="A31" s="8"/>
      <c r="B31" s="10" t="s">
        <v>18</v>
      </c>
      <c r="C31" s="11" t="s">
        <v>9</v>
      </c>
      <c r="D31" s="12">
        <v>13113</v>
      </c>
      <c r="E31" s="12">
        <v>174248</v>
      </c>
      <c r="F31" s="12">
        <v>7603</v>
      </c>
      <c r="G31" s="12">
        <v>194962</v>
      </c>
      <c r="H31" s="13"/>
    </row>
    <row r="32" spans="1:20" ht="27" thickBot="1" x14ac:dyDescent="0.25">
      <c r="A32" s="8"/>
      <c r="B32" s="6"/>
      <c r="C32" s="11" t="s">
        <v>10</v>
      </c>
      <c r="D32" s="12">
        <v>1833</v>
      </c>
      <c r="E32" s="12">
        <v>162310</v>
      </c>
      <c r="F32" s="12">
        <v>1607</v>
      </c>
      <c r="G32" s="12">
        <v>165751</v>
      </c>
      <c r="H32" s="13"/>
    </row>
    <row r="33" spans="1:8" ht="17" thickBot="1" x14ac:dyDescent="0.25">
      <c r="A33" s="8"/>
      <c r="B33" s="6"/>
      <c r="C33" s="11" t="s">
        <v>11</v>
      </c>
      <c r="D33" s="12" t="s">
        <v>6</v>
      </c>
      <c r="E33" s="12" t="s">
        <v>6</v>
      </c>
      <c r="F33" s="12" t="s">
        <v>6</v>
      </c>
      <c r="G33" s="12" t="s">
        <v>6</v>
      </c>
      <c r="H33" s="13"/>
    </row>
    <row r="34" spans="1:8" ht="17" thickBot="1" x14ac:dyDescent="0.25">
      <c r="A34" s="8"/>
      <c r="B34" s="6"/>
      <c r="C34" s="11" t="s">
        <v>5</v>
      </c>
      <c r="D34" s="12">
        <v>14945</v>
      </c>
      <c r="E34" s="12">
        <v>336556</v>
      </c>
      <c r="F34" s="12">
        <v>9206</v>
      </c>
      <c r="G34" s="12">
        <v>360709</v>
      </c>
      <c r="H34" s="13"/>
    </row>
    <row r="35" spans="1:8" ht="27" thickBot="1" x14ac:dyDescent="0.25">
      <c r="A35" s="8"/>
      <c r="B35" s="10" t="s">
        <v>19</v>
      </c>
      <c r="C35" s="11" t="s">
        <v>9</v>
      </c>
      <c r="D35" s="12">
        <v>12529</v>
      </c>
      <c r="E35" s="12">
        <v>165441</v>
      </c>
      <c r="F35" s="12">
        <v>12891</v>
      </c>
      <c r="G35" s="12">
        <v>190864</v>
      </c>
      <c r="H35" s="13"/>
    </row>
    <row r="36" spans="1:8" ht="27" thickBot="1" x14ac:dyDescent="0.25">
      <c r="A36" s="8"/>
      <c r="B36" s="6"/>
      <c r="C36" s="11" t="s">
        <v>10</v>
      </c>
      <c r="D36" s="12">
        <v>1695</v>
      </c>
      <c r="E36" s="12">
        <v>158997</v>
      </c>
      <c r="F36" s="12">
        <v>1941</v>
      </c>
      <c r="G36" s="12">
        <v>162634</v>
      </c>
      <c r="H36" s="13"/>
    </row>
    <row r="37" spans="1:8" ht="17" thickBot="1" x14ac:dyDescent="0.25">
      <c r="A37" s="8"/>
      <c r="B37" s="6"/>
      <c r="C37" s="11" t="s">
        <v>11</v>
      </c>
      <c r="D37" s="12" t="s">
        <v>6</v>
      </c>
      <c r="E37" s="12" t="s">
        <v>6</v>
      </c>
      <c r="F37" s="12" t="s">
        <v>6</v>
      </c>
      <c r="G37" s="12" t="s">
        <v>6</v>
      </c>
      <c r="H37" s="13"/>
    </row>
    <row r="38" spans="1:8" ht="17" thickBot="1" x14ac:dyDescent="0.25">
      <c r="A38" s="8"/>
      <c r="B38" s="6"/>
      <c r="C38" s="11" t="s">
        <v>5</v>
      </c>
      <c r="D38" s="12">
        <v>14224</v>
      </c>
      <c r="E38" s="12">
        <v>324443</v>
      </c>
      <c r="F38" s="12">
        <v>14835</v>
      </c>
      <c r="G38" s="12">
        <v>353504</v>
      </c>
      <c r="H38" s="13"/>
    </row>
    <row r="39" spans="1:8" ht="27" thickBot="1" x14ac:dyDescent="0.25">
      <c r="A39" s="8"/>
      <c r="B39" s="10" t="s">
        <v>20</v>
      </c>
      <c r="C39" s="11" t="s">
        <v>9</v>
      </c>
      <c r="D39" s="12">
        <v>8050</v>
      </c>
      <c r="E39" s="12">
        <v>119145</v>
      </c>
      <c r="F39" s="12">
        <v>6335</v>
      </c>
      <c r="G39" s="12">
        <v>133534</v>
      </c>
      <c r="H39" s="13"/>
    </row>
    <row r="40" spans="1:8" ht="27" thickBot="1" x14ac:dyDescent="0.25">
      <c r="A40" s="8"/>
      <c r="B40" s="6"/>
      <c r="C40" s="11" t="s">
        <v>10</v>
      </c>
      <c r="D40" s="12">
        <v>1140</v>
      </c>
      <c r="E40" s="12">
        <v>118648</v>
      </c>
      <c r="F40" s="12">
        <v>1167</v>
      </c>
      <c r="G40" s="12">
        <v>120956</v>
      </c>
      <c r="H40" s="13"/>
    </row>
    <row r="41" spans="1:8" ht="17" thickBot="1" x14ac:dyDescent="0.25">
      <c r="A41" s="8"/>
      <c r="B41" s="6"/>
      <c r="C41" s="11" t="s">
        <v>11</v>
      </c>
      <c r="D41" s="12" t="s">
        <v>6</v>
      </c>
      <c r="E41" s="12" t="s">
        <v>6</v>
      </c>
      <c r="F41" s="12" t="s">
        <v>6</v>
      </c>
      <c r="G41" s="12" t="s">
        <v>6</v>
      </c>
      <c r="H41" s="13"/>
    </row>
    <row r="42" spans="1:8" ht="17" thickBot="1" x14ac:dyDescent="0.25">
      <c r="A42" s="8"/>
      <c r="B42" s="6"/>
      <c r="C42" s="11" t="s">
        <v>5</v>
      </c>
      <c r="D42" s="12">
        <v>9194</v>
      </c>
      <c r="E42" s="12">
        <v>237793</v>
      </c>
      <c r="F42" s="12">
        <v>7504</v>
      </c>
      <c r="G42" s="12">
        <v>254492</v>
      </c>
      <c r="H42" s="13"/>
    </row>
    <row r="43" spans="1:8" ht="27" thickBot="1" x14ac:dyDescent="0.25">
      <c r="A43" s="8"/>
      <c r="B43" s="10" t="s">
        <v>21</v>
      </c>
      <c r="C43" s="11" t="s">
        <v>9</v>
      </c>
      <c r="D43" s="12">
        <v>11325</v>
      </c>
      <c r="E43" s="12">
        <v>164902</v>
      </c>
      <c r="F43" s="12">
        <v>7060</v>
      </c>
      <c r="G43" s="12">
        <v>183289</v>
      </c>
      <c r="H43" s="13"/>
    </row>
    <row r="44" spans="1:8" ht="27" thickBot="1" x14ac:dyDescent="0.25">
      <c r="A44" s="8"/>
      <c r="B44" s="6"/>
      <c r="C44" s="11" t="s">
        <v>10</v>
      </c>
      <c r="D44" s="12">
        <v>1390</v>
      </c>
      <c r="E44" s="12">
        <v>113492</v>
      </c>
      <c r="F44" s="12">
        <v>1547</v>
      </c>
      <c r="G44" s="12">
        <v>116427</v>
      </c>
      <c r="H44" s="13"/>
    </row>
    <row r="45" spans="1:8" ht="17" thickBot="1" x14ac:dyDescent="0.25">
      <c r="A45" s="8"/>
      <c r="B45" s="6"/>
      <c r="C45" s="11" t="s">
        <v>11</v>
      </c>
      <c r="D45" s="12" t="s">
        <v>6</v>
      </c>
      <c r="E45" s="12" t="s">
        <v>6</v>
      </c>
      <c r="F45" s="12" t="s">
        <v>6</v>
      </c>
      <c r="G45" s="12" t="s">
        <v>6</v>
      </c>
      <c r="H45" s="13"/>
    </row>
    <row r="46" spans="1:8" ht="17" thickBot="1" x14ac:dyDescent="0.25">
      <c r="A46" s="8"/>
      <c r="B46" s="6"/>
      <c r="C46" s="11" t="s">
        <v>5</v>
      </c>
      <c r="D46" s="12">
        <v>12717</v>
      </c>
      <c r="E46" s="12">
        <v>278397</v>
      </c>
      <c r="F46" s="12">
        <v>8607</v>
      </c>
      <c r="G46" s="12">
        <v>299725</v>
      </c>
      <c r="H46" s="13"/>
    </row>
    <row r="47" spans="1:8" ht="27" thickBot="1" x14ac:dyDescent="0.25">
      <c r="A47" s="8"/>
      <c r="B47" s="10" t="s">
        <v>22</v>
      </c>
      <c r="C47" s="11" t="s">
        <v>9</v>
      </c>
      <c r="D47" s="12">
        <v>11372</v>
      </c>
      <c r="E47" s="12">
        <v>180760</v>
      </c>
      <c r="F47" s="12">
        <v>6322</v>
      </c>
      <c r="G47" s="12">
        <v>198450</v>
      </c>
      <c r="H47" s="13"/>
    </row>
    <row r="48" spans="1:8" ht="27" thickBot="1" x14ac:dyDescent="0.25">
      <c r="A48" s="8"/>
      <c r="B48" s="6"/>
      <c r="C48" s="11" t="s">
        <v>10</v>
      </c>
      <c r="D48" s="12">
        <v>1223</v>
      </c>
      <c r="E48" s="12">
        <v>137294</v>
      </c>
      <c r="F48" s="12">
        <v>1311</v>
      </c>
      <c r="G48" s="12">
        <v>139824</v>
      </c>
      <c r="H48" s="13"/>
    </row>
    <row r="49" spans="1:8" ht="17" thickBot="1" x14ac:dyDescent="0.25">
      <c r="A49" s="8"/>
      <c r="B49" s="6"/>
      <c r="C49" s="11" t="s">
        <v>11</v>
      </c>
      <c r="D49" s="12" t="s">
        <v>6</v>
      </c>
      <c r="E49" s="12" t="s">
        <v>6</v>
      </c>
      <c r="F49" s="12" t="s">
        <v>6</v>
      </c>
      <c r="G49" s="12" t="s">
        <v>6</v>
      </c>
      <c r="H49" s="13"/>
    </row>
    <row r="50" spans="1:8" ht="17" thickBot="1" x14ac:dyDescent="0.25">
      <c r="A50" s="8"/>
      <c r="B50" s="6"/>
      <c r="C50" s="11" t="s">
        <v>5</v>
      </c>
      <c r="D50" s="12">
        <v>12594</v>
      </c>
      <c r="E50" s="12">
        <v>318046</v>
      </c>
      <c r="F50" s="12">
        <v>7635</v>
      </c>
      <c r="G50" s="12">
        <v>338275</v>
      </c>
      <c r="H50" s="13"/>
    </row>
    <row r="51" spans="1:8" ht="27" thickBot="1" x14ac:dyDescent="0.25">
      <c r="A51" s="8"/>
      <c r="B51" s="10" t="s">
        <v>23</v>
      </c>
      <c r="C51" s="11" t="s">
        <v>9</v>
      </c>
      <c r="D51" s="12">
        <v>10028</v>
      </c>
      <c r="E51" s="12">
        <v>153230</v>
      </c>
      <c r="F51" s="12">
        <v>6925</v>
      </c>
      <c r="G51" s="12">
        <v>170181</v>
      </c>
      <c r="H51" s="13"/>
    </row>
    <row r="52" spans="1:8" ht="27" thickBot="1" x14ac:dyDescent="0.25">
      <c r="A52" s="8"/>
      <c r="B52" s="6"/>
      <c r="C52" s="11" t="s">
        <v>10</v>
      </c>
      <c r="D52" s="12">
        <v>1105</v>
      </c>
      <c r="E52" s="12">
        <v>118376</v>
      </c>
      <c r="F52" s="12">
        <v>1739</v>
      </c>
      <c r="G52" s="12">
        <v>121225</v>
      </c>
      <c r="H52" s="13"/>
    </row>
    <row r="53" spans="1:8" ht="17" thickBot="1" x14ac:dyDescent="0.25">
      <c r="A53" s="8"/>
      <c r="B53" s="6"/>
      <c r="C53" s="11" t="s">
        <v>11</v>
      </c>
      <c r="D53" s="12" t="s">
        <v>6</v>
      </c>
      <c r="E53" s="12" t="s">
        <v>6</v>
      </c>
      <c r="F53" s="12" t="s">
        <v>6</v>
      </c>
      <c r="G53" s="12" t="s">
        <v>6</v>
      </c>
      <c r="H53" s="13"/>
    </row>
    <row r="54" spans="1:8" ht="17" thickBot="1" x14ac:dyDescent="0.25">
      <c r="A54" s="8"/>
      <c r="B54" s="6"/>
      <c r="C54" s="11" t="s">
        <v>5</v>
      </c>
      <c r="D54" s="12">
        <v>11131</v>
      </c>
      <c r="E54" s="12">
        <v>271606</v>
      </c>
      <c r="F54" s="12">
        <v>8669</v>
      </c>
      <c r="G54" s="12">
        <v>291408</v>
      </c>
      <c r="H54" s="13"/>
    </row>
    <row r="55" spans="1:8" ht="27" thickBot="1" x14ac:dyDescent="0.25">
      <c r="A55" s="8"/>
      <c r="B55" s="10" t="s">
        <v>24</v>
      </c>
      <c r="C55" s="11" t="s">
        <v>9</v>
      </c>
      <c r="D55" s="12">
        <v>10000</v>
      </c>
      <c r="E55" s="12">
        <v>141831</v>
      </c>
      <c r="F55" s="12">
        <v>8175</v>
      </c>
      <c r="G55" s="12">
        <v>160002</v>
      </c>
      <c r="H55" s="13"/>
    </row>
    <row r="56" spans="1:8" ht="27" thickBot="1" x14ac:dyDescent="0.25">
      <c r="A56" s="8"/>
      <c r="B56" s="6"/>
      <c r="C56" s="11" t="s">
        <v>10</v>
      </c>
      <c r="D56" s="12">
        <v>1225</v>
      </c>
      <c r="E56" s="12">
        <v>125749</v>
      </c>
      <c r="F56" s="12">
        <v>1400</v>
      </c>
      <c r="G56" s="12">
        <v>128372</v>
      </c>
      <c r="H56" s="13"/>
    </row>
    <row r="57" spans="1:8" ht="17" thickBot="1" x14ac:dyDescent="0.25">
      <c r="A57" s="8"/>
      <c r="B57" s="6"/>
      <c r="C57" s="11" t="s">
        <v>11</v>
      </c>
      <c r="D57" s="12" t="s">
        <v>6</v>
      </c>
      <c r="E57" s="12" t="s">
        <v>6</v>
      </c>
      <c r="F57" s="12" t="s">
        <v>6</v>
      </c>
      <c r="G57" s="12" t="s">
        <v>6</v>
      </c>
      <c r="H57" s="13"/>
    </row>
    <row r="58" spans="1:8" ht="17" thickBot="1" x14ac:dyDescent="0.25">
      <c r="A58" s="8"/>
      <c r="B58" s="6"/>
      <c r="C58" s="11" t="s">
        <v>5</v>
      </c>
      <c r="D58" s="12">
        <v>11228</v>
      </c>
      <c r="E58" s="12">
        <v>267582</v>
      </c>
      <c r="F58" s="12">
        <v>9573</v>
      </c>
      <c r="G58" s="12">
        <v>288378</v>
      </c>
      <c r="H58" s="13"/>
    </row>
    <row r="59" spans="1:8" ht="27" thickBot="1" x14ac:dyDescent="0.25">
      <c r="A59" s="8"/>
      <c r="B59" s="10" t="s">
        <v>25</v>
      </c>
      <c r="C59" s="11" t="s">
        <v>9</v>
      </c>
      <c r="D59" s="12">
        <v>9490</v>
      </c>
      <c r="E59" s="12">
        <v>145500</v>
      </c>
      <c r="F59" s="12">
        <v>6530</v>
      </c>
      <c r="G59" s="12">
        <v>161521</v>
      </c>
      <c r="H59" s="13"/>
    </row>
    <row r="60" spans="1:8" ht="27" thickBot="1" x14ac:dyDescent="0.25">
      <c r="A60" s="8"/>
      <c r="B60" s="6"/>
      <c r="C60" s="11" t="s">
        <v>10</v>
      </c>
      <c r="D60" s="12">
        <v>1145</v>
      </c>
      <c r="E60" s="12">
        <v>113814</v>
      </c>
      <c r="F60" s="12">
        <v>1457</v>
      </c>
      <c r="G60" s="12">
        <v>116420</v>
      </c>
      <c r="H60" s="13"/>
    </row>
    <row r="61" spans="1:8" ht="17" thickBot="1" x14ac:dyDescent="0.25">
      <c r="A61" s="8"/>
      <c r="B61" s="6"/>
      <c r="C61" s="11" t="s">
        <v>11</v>
      </c>
      <c r="D61" s="12" t="s">
        <v>6</v>
      </c>
      <c r="E61" s="12" t="s">
        <v>6</v>
      </c>
      <c r="F61" s="12" t="s">
        <v>6</v>
      </c>
      <c r="G61" s="12" t="s">
        <v>6</v>
      </c>
      <c r="H61" s="13"/>
    </row>
    <row r="62" spans="1:8" ht="17" thickBot="1" x14ac:dyDescent="0.25">
      <c r="A62" s="8"/>
      <c r="B62" s="6"/>
      <c r="C62" s="11" t="s">
        <v>5</v>
      </c>
      <c r="D62" s="12">
        <v>10636</v>
      </c>
      <c r="E62" s="12">
        <v>259311</v>
      </c>
      <c r="F62" s="12">
        <v>7989</v>
      </c>
      <c r="G62" s="12">
        <v>277942</v>
      </c>
      <c r="H62" s="13"/>
    </row>
    <row r="63" spans="1:8" ht="27" thickBot="1" x14ac:dyDescent="0.25">
      <c r="A63" s="8"/>
      <c r="B63" s="10" t="s">
        <v>26</v>
      </c>
      <c r="C63" s="11" t="s">
        <v>9</v>
      </c>
      <c r="D63" s="12">
        <v>8752</v>
      </c>
      <c r="E63" s="12">
        <v>130473</v>
      </c>
      <c r="F63" s="12">
        <v>5945</v>
      </c>
      <c r="G63" s="12">
        <v>145167</v>
      </c>
      <c r="H63" s="13"/>
    </row>
    <row r="64" spans="1:8" ht="27" thickBot="1" x14ac:dyDescent="0.25">
      <c r="A64" s="8"/>
      <c r="B64" s="6"/>
      <c r="C64" s="11" t="s">
        <v>10</v>
      </c>
      <c r="D64" s="12">
        <v>990</v>
      </c>
      <c r="E64" s="12">
        <v>91357</v>
      </c>
      <c r="F64" s="12">
        <v>1359</v>
      </c>
      <c r="G64" s="12">
        <v>93705</v>
      </c>
      <c r="H64" s="13"/>
    </row>
    <row r="65" spans="1:8" ht="17" thickBot="1" x14ac:dyDescent="0.25">
      <c r="A65" s="8"/>
      <c r="B65" s="6"/>
      <c r="C65" s="11" t="s">
        <v>11</v>
      </c>
      <c r="D65" s="12" t="s">
        <v>6</v>
      </c>
      <c r="E65" s="12" t="s">
        <v>6</v>
      </c>
      <c r="F65" s="12" t="s">
        <v>6</v>
      </c>
      <c r="G65" s="12" t="s">
        <v>6</v>
      </c>
      <c r="H65" s="13"/>
    </row>
    <row r="66" spans="1:8" ht="17" thickBot="1" x14ac:dyDescent="0.25">
      <c r="A66" s="8"/>
      <c r="B66" s="6"/>
      <c r="C66" s="11" t="s">
        <v>5</v>
      </c>
      <c r="D66" s="12">
        <v>9742</v>
      </c>
      <c r="E66" s="12">
        <v>221826</v>
      </c>
      <c r="F66" s="12">
        <v>7300</v>
      </c>
      <c r="G66" s="12">
        <v>238872</v>
      </c>
      <c r="H66" s="13"/>
    </row>
    <row r="67" spans="1:8" ht="27" thickBot="1" x14ac:dyDescent="0.25">
      <c r="A67" s="8"/>
      <c r="B67" s="10" t="s">
        <v>27</v>
      </c>
      <c r="C67" s="11" t="s">
        <v>9</v>
      </c>
      <c r="D67" s="12">
        <v>9150</v>
      </c>
      <c r="E67" s="12">
        <v>129119</v>
      </c>
      <c r="F67" s="12">
        <v>7045</v>
      </c>
      <c r="G67" s="12">
        <v>145321</v>
      </c>
      <c r="H67" s="13"/>
    </row>
    <row r="68" spans="1:8" ht="27" thickBot="1" x14ac:dyDescent="0.25">
      <c r="A68" s="8"/>
      <c r="B68" s="6"/>
      <c r="C68" s="11" t="s">
        <v>10</v>
      </c>
      <c r="D68" s="12">
        <v>1013</v>
      </c>
      <c r="E68" s="12">
        <v>99813</v>
      </c>
      <c r="F68" s="12">
        <v>1624</v>
      </c>
      <c r="G68" s="12">
        <v>102449</v>
      </c>
      <c r="H68" s="13"/>
    </row>
    <row r="69" spans="1:8" ht="17" thickBot="1" x14ac:dyDescent="0.25">
      <c r="A69" s="8"/>
      <c r="B69" s="6"/>
      <c r="C69" s="11" t="s">
        <v>11</v>
      </c>
      <c r="D69" s="12" t="s">
        <v>6</v>
      </c>
      <c r="E69" s="12" t="s">
        <v>6</v>
      </c>
      <c r="F69" s="12" t="s">
        <v>6</v>
      </c>
      <c r="G69" s="12" t="s">
        <v>6</v>
      </c>
      <c r="H69" s="13"/>
    </row>
    <row r="70" spans="1:8" ht="17" thickBot="1" x14ac:dyDescent="0.25">
      <c r="A70" s="8"/>
      <c r="B70" s="6"/>
      <c r="C70" s="11" t="s">
        <v>5</v>
      </c>
      <c r="D70" s="12">
        <v>10156</v>
      </c>
      <c r="E70" s="12">
        <v>228932</v>
      </c>
      <c r="F70" s="12">
        <v>8673</v>
      </c>
      <c r="G70" s="12">
        <v>247762</v>
      </c>
      <c r="H70" s="13"/>
    </row>
  </sheetData>
  <mergeCells count="35">
    <mergeCell ref="H59:H62"/>
    <mergeCell ref="H35:H38"/>
    <mergeCell ref="H39:H42"/>
    <mergeCell ref="H43:H46"/>
    <mergeCell ref="H47:H50"/>
    <mergeCell ref="H51:H54"/>
    <mergeCell ref="H55:H58"/>
    <mergeCell ref="H67:H70"/>
    <mergeCell ref="H63:H66"/>
    <mergeCell ref="H3:H6"/>
    <mergeCell ref="H7:H10"/>
    <mergeCell ref="H11:H14"/>
    <mergeCell ref="H15:H18"/>
    <mergeCell ref="H19:H22"/>
    <mergeCell ref="H23:H26"/>
    <mergeCell ref="H27:H30"/>
    <mergeCell ref="H31:H34"/>
    <mergeCell ref="B47:B50"/>
    <mergeCell ref="B51:B54"/>
    <mergeCell ref="B55:B58"/>
    <mergeCell ref="B59:B62"/>
    <mergeCell ref="B63:B66"/>
    <mergeCell ref="B67:B70"/>
    <mergeCell ref="B23:B26"/>
    <mergeCell ref="B27:B30"/>
    <mergeCell ref="B31:B34"/>
    <mergeCell ref="B35:B38"/>
    <mergeCell ref="B39:B42"/>
    <mergeCell ref="B43:B46"/>
    <mergeCell ref="A1:C1"/>
    <mergeCell ref="B3:B6"/>
    <mergeCell ref="B7:B10"/>
    <mergeCell ref="B11:B14"/>
    <mergeCell ref="B15:B18"/>
    <mergeCell ref="B19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UC people age</vt:lpstr>
      <vt:lpstr>UC people+starts age</vt:lpstr>
      <vt:lpstr>Deaths decile 1</vt:lpstr>
      <vt:lpstr>Populations decile 1</vt:lpstr>
      <vt:lpstr>Sheet5</vt:lpstr>
      <vt:lpstr>ACC Off-flows to Aug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Chidlow</dc:creator>
  <cp:lastModifiedBy>Adam Chidlow</cp:lastModifiedBy>
  <dcterms:created xsi:type="dcterms:W3CDTF">2026-03-02T10:27:25Z</dcterms:created>
  <dcterms:modified xsi:type="dcterms:W3CDTF">2026-03-03T12:27:22Z</dcterms:modified>
</cp:coreProperties>
</file>